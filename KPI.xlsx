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.xml" ContentType="application/vnd.openxmlformats-officedocument.drawing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66E70E02-0CF6-42A6-A23D-3BAAAD94B5C9}" xr6:coauthVersionLast="47" xr6:coauthVersionMax="47" xr10:uidLastSave="{00000000-0000-0000-0000-000000000000}"/>
  <bookViews>
    <workbookView xWindow="-120" yWindow="-120" windowWidth="20730" windowHeight="11160" firstSheet="8" activeTab="12" xr2:uid="{00000000-000D-0000-FFFF-FFFF00000000}"/>
  </bookViews>
  <sheets>
    <sheet name="General Manager" sheetId="1" state="hidden" r:id="rId1"/>
    <sheet name="Head of Sales (Yadi)" sheetId="10" r:id="rId2"/>
    <sheet name="Sales Staff (Sanjaya)" sheetId="12" r:id="rId3"/>
    <sheet name="Sales Staff (2)" sheetId="18" state="hidden" r:id="rId4"/>
    <sheet name="Sales Admin" sheetId="11" state="hidden" r:id="rId5"/>
    <sheet name="Head of Marketing" sheetId="9" state="hidden" r:id="rId6"/>
    <sheet name="Head of Engineering (Arie)" sheetId="8" r:id="rId7"/>
    <sheet name="Engineering Staff (Evan)" sheetId="7" r:id="rId8"/>
    <sheet name="Engineering Staff (Jeremia)" sheetId="21" r:id="rId9"/>
    <sheet name="Inventory Control Staff" sheetId="13" state="hidden" r:id="rId10"/>
    <sheet name="Office Boy" sheetId="14" state="hidden" r:id="rId11"/>
    <sheet name="HRGA" sheetId="20" state="hidden" r:id="rId12"/>
    <sheet name="Main T&amp;C" sheetId="16" r:id="rId13"/>
    <sheet name="Sheet2" sheetId="19" state="hidden" r:id="rId14"/>
    <sheet name="Bonus Project" sheetId="17" r:id="rId15"/>
    <sheet name="KPI Recap, Bonus Bulanan, Payme" sheetId="15" r:id="rId16"/>
    <sheet name="Sheet1" sheetId="4" state="hidden" r:id="rId17"/>
  </sheets>
  <definedNames>
    <definedName name="_xlnm._FilterDatabase" localSheetId="15" hidden="1">'KPI Recap, Bonus Bulanan, Payme'!$B$3:$Q$24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7" l="1"/>
  <c r="J11" i="15" l="1"/>
  <c r="F11" i="15"/>
  <c r="E11" i="15"/>
  <c r="D11" i="15"/>
  <c r="C11" i="15"/>
  <c r="D14" i="17"/>
  <c r="C14" i="17"/>
  <c r="H35" i="21"/>
  <c r="J32" i="21"/>
  <c r="J35" i="21" s="1"/>
  <c r="E38" i="21" s="1"/>
  <c r="I38" i="21" s="1"/>
  <c r="J42" i="21" s="1"/>
  <c r="J31" i="21"/>
  <c r="J30" i="21"/>
  <c r="J29" i="21"/>
  <c r="H21" i="21"/>
  <c r="N20" i="21"/>
  <c r="M20" i="21"/>
  <c r="N19" i="21"/>
  <c r="M19" i="21"/>
  <c r="N18" i="21"/>
  <c r="M18" i="21"/>
  <c r="N17" i="21"/>
  <c r="M17" i="21"/>
  <c r="N16" i="21"/>
  <c r="M16" i="21"/>
  <c r="H34" i="20"/>
  <c r="J31" i="20"/>
  <c r="J30" i="20"/>
  <c r="J29" i="20"/>
  <c r="J28" i="20"/>
  <c r="J34" i="20" s="1"/>
  <c r="E37" i="20" s="1"/>
  <c r="I37" i="20" s="1"/>
  <c r="J41" i="20" s="1"/>
  <c r="H20" i="20"/>
  <c r="N19" i="20"/>
  <c r="M19" i="20"/>
  <c r="N18" i="20"/>
  <c r="M18" i="20"/>
  <c r="N17" i="20"/>
  <c r="M17" i="20"/>
  <c r="N16" i="20"/>
  <c r="N20" i="20" s="1"/>
  <c r="E23" i="20" s="1"/>
  <c r="I23" i="20" s="1"/>
  <c r="H41" i="20" s="1"/>
  <c r="L41" i="20" s="1"/>
  <c r="M16" i="20"/>
  <c r="N21" i="21" l="1"/>
  <c r="E24" i="21" s="1"/>
  <c r="I24" i="21" s="1"/>
  <c r="H42" i="21" s="1"/>
  <c r="L42" i="21" s="1"/>
  <c r="G11" i="15" s="1"/>
  <c r="H11" i="15" s="1"/>
  <c r="K11" i="15" s="1"/>
  <c r="H13" i="16"/>
  <c r="H12" i="16"/>
  <c r="H11" i="16"/>
  <c r="J4" i="17"/>
  <c r="N19" i="7"/>
  <c r="M20" i="7"/>
  <c r="M19" i="7"/>
  <c r="M18" i="7"/>
  <c r="M17" i="7"/>
  <c r="M16" i="7"/>
  <c r="M16" i="8"/>
  <c r="N16" i="8"/>
  <c r="M17" i="8"/>
  <c r="N17" i="8"/>
  <c r="M18" i="8"/>
  <c r="N18" i="8"/>
  <c r="M19" i="8"/>
  <c r="N19" i="8"/>
  <c r="M20" i="8"/>
  <c r="N20" i="8"/>
  <c r="C9" i="15"/>
  <c r="L7" i="15"/>
  <c r="F4" i="17"/>
  <c r="F5" i="17"/>
  <c r="J5" i="17" s="1"/>
  <c r="E4" i="17"/>
  <c r="O16" i="18"/>
  <c r="C5" i="17"/>
  <c r="C4" i="17"/>
  <c r="G14" i="15"/>
  <c r="H14" i="15" s="1"/>
  <c r="G12" i="15"/>
  <c r="K4" i="17" l="1"/>
  <c r="G4" i="15"/>
  <c r="D12" i="17"/>
  <c r="D13" i="17"/>
  <c r="C13" i="17"/>
  <c r="C12" i="17"/>
  <c r="H10" i="16"/>
  <c r="E5" i="17"/>
  <c r="K5" i="17" s="1"/>
  <c r="M5" i="17" s="1"/>
  <c r="F14" i="17" s="1"/>
  <c r="L11" i="15" s="1"/>
  <c r="N11" i="15" s="1"/>
  <c r="F7" i="15"/>
  <c r="E7" i="15"/>
  <c r="D7" i="15"/>
  <c r="C7" i="15"/>
  <c r="H34" i="18"/>
  <c r="J31" i="18"/>
  <c r="J30" i="18"/>
  <c r="J29" i="18"/>
  <c r="J28" i="18"/>
  <c r="J34" i="18" s="1"/>
  <c r="E37" i="18" s="1"/>
  <c r="I37" i="18" s="1"/>
  <c r="J41" i="18" s="1"/>
  <c r="H20" i="18"/>
  <c r="N19" i="18"/>
  <c r="N18" i="18"/>
  <c r="M18" i="18"/>
  <c r="N17" i="18"/>
  <c r="M17" i="18"/>
  <c r="M16" i="18"/>
  <c r="J41" i="14"/>
  <c r="I37" i="14"/>
  <c r="E37" i="14"/>
  <c r="J34" i="14"/>
  <c r="H34" i="14"/>
  <c r="J31" i="14"/>
  <c r="J30" i="14"/>
  <c r="J29" i="14"/>
  <c r="J28" i="14"/>
  <c r="H20" i="14"/>
  <c r="N19" i="14"/>
  <c r="M19" i="14"/>
  <c r="N18" i="14"/>
  <c r="M18" i="14"/>
  <c r="N17" i="14"/>
  <c r="M17" i="14"/>
  <c r="N16" i="14"/>
  <c r="N20" i="14" s="1"/>
  <c r="E23" i="14" s="1"/>
  <c r="I23" i="14" s="1"/>
  <c r="H41" i="14" s="1"/>
  <c r="L41" i="14" s="1"/>
  <c r="M16" i="14"/>
  <c r="J34" i="13"/>
  <c r="E37" i="13" s="1"/>
  <c r="I37" i="13" s="1"/>
  <c r="J41" i="13" s="1"/>
  <c r="H34" i="13"/>
  <c r="J31" i="13"/>
  <c r="J30" i="13"/>
  <c r="J29" i="13"/>
  <c r="J28" i="13"/>
  <c r="H20" i="13"/>
  <c r="N19" i="13"/>
  <c r="M19" i="13"/>
  <c r="N18" i="13"/>
  <c r="M18" i="13"/>
  <c r="N17" i="13"/>
  <c r="M17" i="13"/>
  <c r="N16" i="13"/>
  <c r="M16" i="13"/>
  <c r="H33" i="12"/>
  <c r="J30" i="12"/>
  <c r="J29" i="12"/>
  <c r="J28" i="12"/>
  <c r="J27" i="12"/>
  <c r="J33" i="12" s="1"/>
  <c r="E36" i="12" s="1"/>
  <c r="I36" i="12" s="1"/>
  <c r="J40" i="12" s="1"/>
  <c r="H19" i="12"/>
  <c r="N18" i="12"/>
  <c r="M18" i="12"/>
  <c r="N17" i="12"/>
  <c r="M17" i="12"/>
  <c r="N16" i="12"/>
  <c r="M16" i="12"/>
  <c r="J41" i="11"/>
  <c r="I37" i="11"/>
  <c r="E37" i="11"/>
  <c r="J34" i="11"/>
  <c r="H34" i="11"/>
  <c r="J31" i="11"/>
  <c r="J30" i="11"/>
  <c r="J29" i="11"/>
  <c r="J28" i="11"/>
  <c r="H20" i="11"/>
  <c r="N19" i="11"/>
  <c r="N20" i="11" s="1"/>
  <c r="E23" i="11" s="1"/>
  <c r="I23" i="11" s="1"/>
  <c r="H41" i="11" s="1"/>
  <c r="L41" i="11" s="1"/>
  <c r="H12" i="15" s="1"/>
  <c r="N18" i="11"/>
  <c r="M18" i="11"/>
  <c r="N17" i="11"/>
  <c r="M17" i="11"/>
  <c r="N16" i="11"/>
  <c r="M16" i="11"/>
  <c r="H35" i="7"/>
  <c r="J32" i="7"/>
  <c r="J31" i="7"/>
  <c r="J30" i="7"/>
  <c r="J35" i="7" s="1"/>
  <c r="E38" i="7" s="1"/>
  <c r="I38" i="7" s="1"/>
  <c r="J42" i="7" s="1"/>
  <c r="J29" i="7"/>
  <c r="H21" i="7"/>
  <c r="N20" i="7"/>
  <c r="N18" i="7"/>
  <c r="N17" i="7"/>
  <c r="N16" i="7"/>
  <c r="H35" i="8"/>
  <c r="J32" i="8"/>
  <c r="J31" i="8"/>
  <c r="J30" i="8"/>
  <c r="J29" i="8"/>
  <c r="H21" i="8"/>
  <c r="N21" i="8"/>
  <c r="E24" i="8" s="1"/>
  <c r="I24" i="8" s="1"/>
  <c r="H42" i="8" s="1"/>
  <c r="J41" i="9"/>
  <c r="I37" i="9"/>
  <c r="E37" i="9"/>
  <c r="J34" i="9"/>
  <c r="H34" i="9"/>
  <c r="J31" i="9"/>
  <c r="J30" i="9"/>
  <c r="J29" i="9"/>
  <c r="J28" i="9"/>
  <c r="H20" i="9"/>
  <c r="N19" i="9"/>
  <c r="N18" i="9"/>
  <c r="M18" i="9"/>
  <c r="N17" i="9"/>
  <c r="M17" i="9"/>
  <c r="N16" i="9"/>
  <c r="M16" i="9"/>
  <c r="J33" i="10"/>
  <c r="E36" i="10" s="1"/>
  <c r="I36" i="10" s="1"/>
  <c r="J40" i="10" s="1"/>
  <c r="H33" i="10"/>
  <c r="J30" i="10"/>
  <c r="J29" i="10"/>
  <c r="J28" i="10"/>
  <c r="J27" i="10"/>
  <c r="H19" i="10"/>
  <c r="N18" i="10"/>
  <c r="M18" i="10"/>
  <c r="N17" i="10"/>
  <c r="M17" i="10"/>
  <c r="N16" i="10"/>
  <c r="M16" i="10"/>
  <c r="L41" i="1"/>
  <c r="J41" i="1"/>
  <c r="H41" i="1"/>
  <c r="I37" i="1"/>
  <c r="E37" i="1"/>
  <c r="J34" i="1"/>
  <c r="H34" i="1"/>
  <c r="J31" i="1"/>
  <c r="J30" i="1"/>
  <c r="J29" i="1"/>
  <c r="J28" i="1"/>
  <c r="I23" i="1"/>
  <c r="E23" i="1"/>
  <c r="N20" i="1"/>
  <c r="H20" i="1"/>
  <c r="N19" i="1"/>
  <c r="M19" i="1"/>
  <c r="N18" i="1"/>
  <c r="M18" i="1"/>
  <c r="N17" i="1"/>
  <c r="M17" i="1"/>
  <c r="N16" i="1"/>
  <c r="M16" i="1"/>
  <c r="F14" i="15"/>
  <c r="E14" i="15"/>
  <c r="D14" i="15"/>
  <c r="C14" i="15"/>
  <c r="F13" i="15"/>
  <c r="E13" i="15"/>
  <c r="D13" i="15"/>
  <c r="C13" i="15"/>
  <c r="F6" i="15"/>
  <c r="E6" i="15"/>
  <c r="D6" i="15"/>
  <c r="C6" i="15"/>
  <c r="F12" i="15"/>
  <c r="E12" i="15"/>
  <c r="D12" i="15"/>
  <c r="C12" i="15"/>
  <c r="F10" i="15"/>
  <c r="E10" i="15"/>
  <c r="D10" i="15"/>
  <c r="C10" i="15"/>
  <c r="F9" i="15"/>
  <c r="E9" i="15"/>
  <c r="D9" i="15"/>
  <c r="F8" i="15"/>
  <c r="E8" i="15"/>
  <c r="D8" i="15"/>
  <c r="C8" i="15"/>
  <c r="F5" i="15"/>
  <c r="E5" i="15"/>
  <c r="D5" i="15"/>
  <c r="C5" i="15"/>
  <c r="H4" i="15"/>
  <c r="F4" i="15"/>
  <c r="E4" i="15"/>
  <c r="D4" i="15"/>
  <c r="C4" i="15"/>
  <c r="J4" i="15" l="1"/>
  <c r="J14" i="15"/>
  <c r="J7" i="15"/>
  <c r="J8" i="15"/>
  <c r="J5" i="15"/>
  <c r="J9" i="15"/>
  <c r="J6" i="15"/>
  <c r="J10" i="15"/>
  <c r="J13" i="15"/>
  <c r="J12" i="15"/>
  <c r="H14" i="16"/>
  <c r="O2" i="15" s="1"/>
  <c r="O11" i="15" s="1"/>
  <c r="J35" i="8"/>
  <c r="E38" i="8" s="1"/>
  <c r="I38" i="8" s="1"/>
  <c r="J42" i="8" s="1"/>
  <c r="L42" i="8" s="1"/>
  <c r="G9" i="15" s="1"/>
  <c r="H9" i="15" s="1"/>
  <c r="N19" i="12"/>
  <c r="E22" i="12" s="1"/>
  <c r="I22" i="12" s="1"/>
  <c r="H40" i="12" s="1"/>
  <c r="L40" i="12" s="1"/>
  <c r="G6" i="15" s="1"/>
  <c r="H6" i="15" s="1"/>
  <c r="K14" i="15"/>
  <c r="N14" i="15" s="1"/>
  <c r="E8" i="17"/>
  <c r="N20" i="13"/>
  <c r="E23" i="13" s="1"/>
  <c r="I23" i="13" s="1"/>
  <c r="H41" i="13" s="1"/>
  <c r="L41" i="13" s="1"/>
  <c r="G13" i="15" s="1"/>
  <c r="H13" i="15" s="1"/>
  <c r="N21" i="7"/>
  <c r="E24" i="7" s="1"/>
  <c r="I24" i="7" s="1"/>
  <c r="H42" i="7" s="1"/>
  <c r="L42" i="7" s="1"/>
  <c r="N20" i="9"/>
  <c r="E23" i="9" s="1"/>
  <c r="I23" i="9" s="1"/>
  <c r="H41" i="9" s="1"/>
  <c r="L41" i="9" s="1"/>
  <c r="G8" i="15" s="1"/>
  <c r="H8" i="15" s="1"/>
  <c r="N20" i="18"/>
  <c r="E23" i="18" s="1"/>
  <c r="I23" i="18" s="1"/>
  <c r="H41" i="18" s="1"/>
  <c r="L41" i="18" s="1"/>
  <c r="G7" i="15" s="1"/>
  <c r="H7" i="15" s="1"/>
  <c r="F8" i="17"/>
  <c r="K12" i="15"/>
  <c r="N12" i="15" s="1"/>
  <c r="K4" i="15"/>
  <c r="N19" i="10"/>
  <c r="E22" i="10" s="1"/>
  <c r="I22" i="10" s="1"/>
  <c r="H40" i="10" s="1"/>
  <c r="L40" i="10" s="1"/>
  <c r="G5" i="15" s="1"/>
  <c r="H5" i="15" s="1"/>
  <c r="K5" i="15" s="1"/>
  <c r="K9" i="15" l="1"/>
  <c r="G10" i="15"/>
  <c r="H10" i="15" s="1"/>
  <c r="K10" i="15" s="1"/>
  <c r="N4" i="15"/>
  <c r="K6" i="15"/>
  <c r="K8" i="15"/>
  <c r="N8" i="15" s="1"/>
  <c r="K13" i="15"/>
  <c r="N13" i="15" s="1"/>
  <c r="L8" i="17"/>
  <c r="L5" i="15"/>
  <c r="K7" i="15"/>
  <c r="K24" i="15" l="1"/>
  <c r="F13" i="17"/>
  <c r="L10" i="15" s="1"/>
  <c r="N10" i="15" s="1"/>
  <c r="L4" i="17"/>
  <c r="L6" i="15"/>
  <c r="N6" i="15" s="1"/>
  <c r="N5" i="17"/>
  <c r="F12" i="17"/>
  <c r="N7" i="15"/>
  <c r="O8" i="15"/>
  <c r="O12" i="15"/>
  <c r="O14" i="15"/>
  <c r="O13" i="15"/>
  <c r="O4" i="15"/>
  <c r="L9" i="15" l="1"/>
  <c r="N9" i="15" s="1"/>
  <c r="F15" i="17"/>
  <c r="O6" i="15"/>
  <c r="N4" i="17"/>
  <c r="M8" i="17" s="1"/>
  <c r="K8" i="17"/>
  <c r="M5" i="15"/>
  <c r="O10" i="15"/>
  <c r="O7" i="15"/>
  <c r="L24" i="15" l="1"/>
  <c r="M24" i="15"/>
  <c r="N5" i="15"/>
  <c r="O9" i="15"/>
  <c r="N24" i="15" l="1"/>
  <c r="O5" i="15"/>
  <c r="O24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00000000-0006-0000-0000-000001000000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00000000-0006-0000-0000-000002000000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00000000-0006-0000-0000-000003000000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00000000-0006-0000-0000-000004000000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00000000-0006-0000-0000-000005000000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7" authorId="1" shapeId="0" xr:uid="{00000000-0006-0000-0000-000006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7" authorId="0" shapeId="0" xr:uid="{00000000-0006-0000-0000-000007000000}">
      <text>
        <r>
          <rPr>
            <sz val="10"/>
            <rFont val="SimSun"/>
          </rPr>
          <t>Agfa Kusuma Putra:
Isi penilaian</t>
        </r>
      </text>
    </comment>
    <comment ref="F28" authorId="1" shapeId="0" xr:uid="{00000000-0006-0000-0000-000008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00000000-0006-0000-0100-000001000000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00000000-0006-0000-0100-000002000000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00000000-0006-0000-0100-000003000000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00000000-0006-0000-0100-000004000000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00000000-0006-0000-0100-000005000000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6" authorId="1" shapeId="0" xr:uid="{00000000-0006-0000-0100-000006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6" authorId="0" shapeId="0" xr:uid="{00000000-0006-0000-0100-000007000000}">
      <text>
        <r>
          <rPr>
            <sz val="10"/>
            <rFont val="SimSun"/>
          </rPr>
          <t>Agfa Kusuma Putra:
Isi penilaian</t>
        </r>
      </text>
    </comment>
    <comment ref="F27" authorId="1" shapeId="0" xr:uid="{00000000-0006-0000-0100-000008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00000000-0006-0000-0600-000001000000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00000000-0006-0000-0600-000002000000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00000000-0006-0000-0600-000003000000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00000000-0006-0000-0600-000004000000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00000000-0006-0000-0600-000005000000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6" authorId="1" shapeId="0" xr:uid="{00000000-0006-0000-0600-000006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6" authorId="0" shapeId="0" xr:uid="{00000000-0006-0000-0600-000007000000}">
      <text>
        <r>
          <rPr>
            <sz val="10"/>
            <rFont val="SimSun"/>
          </rPr>
          <t>Agfa Kusuma Putra:
Isi penilaian</t>
        </r>
      </text>
    </comment>
    <comment ref="F27" authorId="1" shapeId="0" xr:uid="{00000000-0006-0000-0600-000008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017202AA-2860-4EB6-A496-944D808B01F6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CB1EB9AD-B0A3-48EF-B0C7-3EB06EAE2D82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8EE00492-DA36-48AF-A194-D4DE9575915B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5BCF6DF9-42A8-44A8-A712-F43B3053E010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8D619EC0-DA33-4851-99DB-799336D5C998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7" authorId="1" shapeId="0" xr:uid="{9ACA7BC2-4662-4131-BC9D-B9BF892D46D3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7" authorId="0" shapeId="0" xr:uid="{AE20E7CE-9DA8-4021-A8B2-1197EF5761C9}">
      <text>
        <r>
          <rPr>
            <sz val="10"/>
            <rFont val="SimSun"/>
          </rPr>
          <t>Agfa Kusuma Putra:
Isi penilaian</t>
        </r>
      </text>
    </comment>
    <comment ref="F28" authorId="1" shapeId="0" xr:uid="{87E6EF50-EA6C-410D-B5C4-F84BE71DD4D3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00000000-0006-0000-0500-000001000000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00000000-0006-0000-0500-000002000000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00000000-0006-0000-0500-000003000000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00000000-0006-0000-0500-000004000000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00000000-0006-0000-0500-000005000000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7" authorId="1" shapeId="0" xr:uid="{00000000-0006-0000-0500-000006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7" authorId="0" shapeId="0" xr:uid="{00000000-0006-0000-0500-000007000000}">
      <text>
        <r>
          <rPr>
            <sz val="10"/>
            <rFont val="SimSun"/>
          </rPr>
          <t>Agfa Kusuma Putra:
Isi penilaian</t>
        </r>
      </text>
    </comment>
    <comment ref="F28" authorId="1" shapeId="0" xr:uid="{00000000-0006-0000-0500-000008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00000000-0006-0000-0200-000001000000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00000000-0006-0000-0200-000002000000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00000000-0006-0000-0200-000003000000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00000000-0006-0000-0200-000004000000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00000000-0006-0000-0200-000005000000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7" authorId="1" shapeId="0" xr:uid="{00000000-0006-0000-0200-000006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7" authorId="0" shapeId="0" xr:uid="{00000000-0006-0000-0200-000007000000}">
      <text>
        <r>
          <rPr>
            <sz val="10"/>
            <rFont val="SimSun"/>
          </rPr>
          <t>Agfa Kusuma Putra:
Isi penilaian</t>
        </r>
      </text>
    </comment>
    <comment ref="F28" authorId="1" shapeId="0" xr:uid="{00000000-0006-0000-0200-000008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00000000-0006-0000-0300-000001000000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00000000-0006-0000-0300-000002000000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00000000-0006-0000-0300-000003000000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00000000-0006-0000-0300-000004000000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00000000-0006-0000-0300-000005000000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8" authorId="1" shapeId="0" xr:uid="{00000000-0006-0000-0300-000006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8" authorId="0" shapeId="0" xr:uid="{00000000-0006-0000-0300-000007000000}">
      <text>
        <r>
          <rPr>
            <sz val="10"/>
            <rFont val="SimSun"/>
          </rPr>
          <t>Agfa Kusuma Putra:
Isi penilaian</t>
        </r>
      </text>
    </comment>
    <comment ref="F29" authorId="1" shapeId="0" xr:uid="{00000000-0006-0000-0300-000008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00000000-0006-0000-0400-000001000000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00000000-0006-0000-0400-000002000000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00000000-0006-0000-0400-000003000000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00000000-0006-0000-0400-000004000000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00000000-0006-0000-0400-000005000000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8" authorId="1" shapeId="0" xr:uid="{00000000-0006-0000-0400-000006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8" authorId="0" shapeId="0" xr:uid="{00000000-0006-0000-0400-000007000000}">
      <text>
        <r>
          <rPr>
            <sz val="10"/>
            <rFont val="SimSun"/>
          </rPr>
          <t>Agfa Kusuma Putra:
Isi penilaian</t>
        </r>
      </text>
    </comment>
    <comment ref="F29" authorId="1" shapeId="0" xr:uid="{00000000-0006-0000-0400-000008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A304A669-B9DE-45E4-AB7D-EDFEEB69F491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B1CF7D26-BB33-40AD-BEAD-E3B94C9CBF16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65FA2D8B-676C-4CF5-B9AC-71BEA998DA95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33585E54-DDC1-454E-85F8-3DE391CF1086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FC530A0F-A477-4A81-AC46-C5C72BD9D2A2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8" authorId="1" shapeId="0" xr:uid="{E5D95884-B225-4EA4-B36F-1396C2D28F99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8" authorId="0" shapeId="0" xr:uid="{0909F638-206D-4826-B644-33144AEB4B55}">
      <text>
        <r>
          <rPr>
            <sz val="10"/>
            <rFont val="SimSun"/>
          </rPr>
          <t>Agfa Kusuma Putra:
Isi penilaian</t>
        </r>
      </text>
    </comment>
    <comment ref="F29" authorId="1" shapeId="0" xr:uid="{380C9722-BA4B-4942-8A4C-612FF7B76447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00000000-0006-0000-0700-000001000000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00000000-0006-0000-0700-000002000000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00000000-0006-0000-0700-000003000000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00000000-0006-0000-0700-000004000000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00000000-0006-0000-0700-000005000000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7" authorId="1" shapeId="0" xr:uid="{00000000-0006-0000-0700-000006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7" authorId="0" shapeId="0" xr:uid="{00000000-0006-0000-0700-000007000000}">
      <text>
        <r>
          <rPr>
            <sz val="10"/>
            <rFont val="SimSun"/>
          </rPr>
          <t>Agfa Kusuma Putra:
Isi penilaian</t>
        </r>
      </text>
    </comment>
    <comment ref="F28" authorId="1" shapeId="0" xr:uid="{00000000-0006-0000-0700-000008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00000000-0006-0000-0800-000001000000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00000000-0006-0000-0800-000002000000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00000000-0006-0000-0800-000003000000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00000000-0006-0000-0800-000004000000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00000000-0006-0000-0800-000005000000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7" authorId="1" shapeId="0" xr:uid="{00000000-0006-0000-0800-000006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7" authorId="0" shapeId="0" xr:uid="{00000000-0006-0000-0800-000007000000}">
      <text>
        <r>
          <rPr>
            <sz val="10"/>
            <rFont val="SimSun"/>
          </rPr>
          <t>Agfa Kusuma Putra:
Isi penilaian</t>
        </r>
      </text>
    </comment>
    <comment ref="F28" authorId="1" shapeId="0" xr:uid="{00000000-0006-0000-0800-000008000000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Agfa Kusuma Putra</author>
  </authors>
  <commentList>
    <comment ref="H15" authorId="0" shapeId="0" xr:uid="{0B06EB4F-ED1B-48B9-873E-4474E69BD7BA}">
      <text>
        <r>
          <rPr>
            <sz val="10"/>
            <rFont val="SimSun"/>
          </rPr>
          <t>Agfa Kusuma Putra:
Isi persentase bobot pekerjaan</t>
        </r>
      </text>
    </comment>
    <comment ref="I15" authorId="0" shapeId="0" xr:uid="{CE99E0B4-64D3-4091-AF6B-A4375AC434CC}">
      <text>
        <r>
          <rPr>
            <sz val="10"/>
            <rFont val="SimSun"/>
          </rPr>
          <t>Agfa Kusuma Putra:
Maximize, semakin tinggi pencapaian semakin bagus
Minimize, semakin kecil pencapaian semakin bagus</t>
        </r>
      </text>
    </comment>
    <comment ref="J15" authorId="0" shapeId="0" xr:uid="{B8426A1F-A8D2-4221-9528-4EF084F6CCB5}">
      <text>
        <r>
          <rPr>
            <sz val="10"/>
            <rFont val="SimSun"/>
          </rPr>
          <t>Agfa Kusuma Putra:
Tentukan target yang ingin dicapai</t>
        </r>
      </text>
    </comment>
    <comment ref="K15" authorId="0" shapeId="0" xr:uid="{A6D19FD8-6189-4982-8074-C5438FB6F747}">
      <text>
        <r>
          <rPr>
            <sz val="10"/>
            <rFont val="SimSun"/>
          </rPr>
          <t>Agfa Kusuma Putra:
satuan dari target yang ingin dicapai</t>
        </r>
      </text>
    </comment>
    <comment ref="L15" authorId="0" shapeId="0" xr:uid="{AE7C7720-710F-4F80-AA5C-96DDAE313E88}">
      <text>
        <r>
          <rPr>
            <sz val="10"/>
            <rFont val="SimSun"/>
          </rPr>
          <t>Agfa Kusuma Putra:
aktual target yang dicapai
(Diisi setiap tanggal 5 pada bulan berikutnya</t>
        </r>
      </text>
    </comment>
    <comment ref="H27" authorId="1" shapeId="0" xr:uid="{41C547FB-9066-43CD-BEC1-0434E93F6EA2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Isi persentase bobot pekerjaan</t>
        </r>
      </text>
    </comment>
    <comment ref="I27" authorId="0" shapeId="0" xr:uid="{1A13FCBF-497F-4B16-ADE2-E4F61B248AEF}">
      <text>
        <r>
          <rPr>
            <sz val="10"/>
            <rFont val="SimSun"/>
          </rPr>
          <t>Agfa Kusuma Putra:
Isi penilaian</t>
        </r>
      </text>
    </comment>
    <comment ref="F28" authorId="1" shapeId="0" xr:uid="{B8697539-986A-4164-AD1E-488F3574D961}">
      <text>
        <r>
          <rPr>
            <b/>
            <sz val="9"/>
            <rFont val="Tahoma"/>
            <family val="2"/>
          </rPr>
          <t>Agfa Kusuma Putra:</t>
        </r>
        <r>
          <rPr>
            <sz val="9"/>
            <rFont val="Tahoma"/>
            <family val="2"/>
          </rPr>
          <t xml:space="preserve">
contoh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Agfa Kusuma Putra</author>
  </authors>
  <commentList>
    <comment ref="H10" authorId="0" shapeId="0" xr:uid="{8640DA22-72DE-4FCB-B089-0E3822B624EB}">
      <text>
        <r>
          <rPr>
            <b/>
            <sz val="9"/>
            <color indexed="81"/>
            <rFont val="Tahoma"/>
            <family val="2"/>
          </rPr>
          <t>Agfa Kusuma Putra:</t>
        </r>
        <r>
          <rPr>
            <sz val="9"/>
            <color indexed="81"/>
            <rFont val="Tahoma"/>
            <family val="2"/>
          </rPr>
          <t xml:space="preserve">
Diambil dari pencapaian pada Kpi Sales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Agfa Kusuma Putra</author>
  </authors>
  <commentList>
    <comment ref="L4" authorId="0" shapeId="0" xr:uid="{F497E9B8-10FB-4172-924D-E9FCC8431F56}">
      <text>
        <r>
          <rPr>
            <b/>
            <sz val="9"/>
            <color indexed="81"/>
            <rFont val="Tahoma"/>
            <family val="2"/>
          </rPr>
          <t>Agfa Kusuma Putra:</t>
        </r>
        <r>
          <rPr>
            <sz val="9"/>
            <color indexed="81"/>
            <rFont val="Tahoma"/>
            <family val="2"/>
          </rPr>
          <t xml:space="preserve">
bonus tambahan untuk head of sales basd on 5% x total all komisi sales </t>
        </r>
      </text>
    </comment>
  </commentList>
</comments>
</file>

<file path=xl/sharedStrings.xml><?xml version="1.0" encoding="utf-8"?>
<sst xmlns="http://schemas.openxmlformats.org/spreadsheetml/2006/main" count="984" uniqueCount="201">
  <si>
    <t>LEMBAR
KEY PERFORMANCE INDICATOR</t>
  </si>
  <si>
    <t>Company Logo</t>
  </si>
  <si>
    <t xml:space="preserve">URAIAN </t>
  </si>
  <si>
    <t>Department/ Unit</t>
  </si>
  <si>
    <t>:</t>
  </si>
  <si>
    <t>Management</t>
  </si>
  <si>
    <t>Jabatan</t>
  </si>
  <si>
    <t>General Manager</t>
  </si>
  <si>
    <t>Nama Karyawan</t>
  </si>
  <si>
    <t>Rudi</t>
  </si>
  <si>
    <t>Bulan Penilaian</t>
  </si>
  <si>
    <t>Mei 2026</t>
  </si>
  <si>
    <t>A. Penilaian KPI</t>
  </si>
  <si>
    <t>No</t>
  </si>
  <si>
    <t>Key Result Area</t>
  </si>
  <si>
    <t>Key Performance Indicator</t>
  </si>
  <si>
    <t xml:space="preserve">Bobot </t>
  </si>
  <si>
    <t>Metode</t>
  </si>
  <si>
    <t>Target</t>
  </si>
  <si>
    <t>Satuan</t>
  </si>
  <si>
    <t>Realisasi</t>
  </si>
  <si>
    <t>Score (Bobot x Realisasi)</t>
  </si>
  <si>
    <t>Pencapaian Target
Revenue Perusahaan</t>
  </si>
  <si>
    <t>Persentase pencapaian revenue perusahaan</t>
  </si>
  <si>
    <t>Minimize</t>
  </si>
  <si>
    <t>%</t>
  </si>
  <si>
    <t>Maximize</t>
  </si>
  <si>
    <t>Customer</t>
  </si>
  <si>
    <t>Total bobot max 100%</t>
  </si>
  <si>
    <t>Total Score</t>
  </si>
  <si>
    <t xml:space="preserve">Grand Total Score KPI = </t>
  </si>
  <si>
    <t>Total Score x Bobot</t>
  </si>
  <si>
    <t>x</t>
  </si>
  <si>
    <t>=</t>
  </si>
  <si>
    <t>B. Soft Skill</t>
  </si>
  <si>
    <t>Kompetensi</t>
  </si>
  <si>
    <t>Nilai</t>
  </si>
  <si>
    <t>Score (Bobot x Nilai)</t>
  </si>
  <si>
    <t>Dicipline</t>
  </si>
  <si>
    <t>Responsible</t>
  </si>
  <si>
    <t>Team Work</t>
  </si>
  <si>
    <t>Great Execution</t>
  </si>
  <si>
    <t xml:space="preserve">Total bobot </t>
  </si>
  <si>
    <t>Grand Total Score Kompetensi =</t>
  </si>
  <si>
    <t>Total Nilai</t>
  </si>
  <si>
    <t>Grand Total Score KPI + Grand Total Score Kompetensi</t>
  </si>
  <si>
    <t>+</t>
  </si>
  <si>
    <t>Dibuat Oleh,</t>
  </si>
  <si>
    <t>Disetujui Oleh,</t>
  </si>
  <si>
    <t xml:space="preserve">Nama: </t>
  </si>
  <si>
    <t xml:space="preserve">Nama : </t>
  </si>
  <si>
    <t xml:space="preserve">Tanggal: </t>
  </si>
  <si>
    <t xml:space="preserve">Tanggal : </t>
  </si>
  <si>
    <t>Sales</t>
  </si>
  <si>
    <t>Head of Sales</t>
  </si>
  <si>
    <t>Target penjualan</t>
  </si>
  <si>
    <t>Total penjualan (close order)</t>
  </si>
  <si>
    <t>Rupiah</t>
  </si>
  <si>
    <t>New customer</t>
  </si>
  <si>
    <t>Jumlah customer baru yang diperoleh diluar data base perusahaan)</t>
  </si>
  <si>
    <t>Effective call</t>
  </si>
  <si>
    <t>Jumlah customer yang dikunjungi tiap bulan</t>
  </si>
  <si>
    <t>???</t>
  </si>
  <si>
    <t>Marketing</t>
  </si>
  <si>
    <t>Head of Marketing</t>
  </si>
  <si>
    <t>Lead generation</t>
  </si>
  <si>
    <t>Jumlah lead perbulan</t>
  </si>
  <si>
    <t>lead</t>
  </si>
  <si>
    <t>Performa Channel Digital
(SEO &amp; Traffic)</t>
  </si>
  <si>
    <t>Jumlah trafic perbulan</t>
  </si>
  <si>
    <t>kali</t>
  </si>
  <si>
    <t>Engineering</t>
  </si>
  <si>
    <t>Head of Engineering</t>
  </si>
  <si>
    <t>Engineering Staff</t>
  </si>
  <si>
    <t>Sales Admin Staff</t>
  </si>
  <si>
    <t>Kecepatan respon terhadap lead yang masuk, tidak ada lead yang terlewat untuk di follow up</t>
  </si>
  <si>
    <t>Akurasi dan Kerapihan Data</t>
  </si>
  <si>
    <t>Tidak ada data administrasi yang salah</t>
  </si>
  <si>
    <t>kali eror</t>
  </si>
  <si>
    <t>Closing online</t>
  </si>
  <si>
    <t>Jumlah closing penjualan secara online</t>
  </si>
  <si>
    <t>??</t>
  </si>
  <si>
    <t>Sales Staff</t>
  </si>
  <si>
    <t>Warehouse</t>
  </si>
  <si>
    <t>Inventory Control Staff</t>
  </si>
  <si>
    <t>Akurasi stok</t>
  </si>
  <si>
    <t>Akurasi kesesuaian stok fisik dengan data yang ada</t>
  </si>
  <si>
    <t>Kerapihan dan kebersihan gudang</t>
  </si>
  <si>
    <t>Kondisi gudang dalam keadaan bersih dan rapi</t>
  </si>
  <si>
    <t>Office Boy</t>
  </si>
  <si>
    <t>Kebersihan dan Kerapihan
Area Kerja</t>
  </si>
  <si>
    <t>Kondisi lingkungan kerja yang bersih dan nyaman</t>
  </si>
  <si>
    <t>Kecepatan dan Ketepatan Dukungan Operasional</t>
  </si>
  <si>
    <t>Pemenuhan dukungan operasional terhadap kebutuhan tim dilakukan dengan responsif</t>
  </si>
  <si>
    <t>Perawatan Fasilitas dan Peralatan</t>
  </si>
  <si>
    <t>Fasilitas dan peralatan selalu siap sedia  dan dirawat secara berkala</t>
  </si>
  <si>
    <t>T&amp;C Bonus Bulanan</t>
  </si>
  <si>
    <t>Input &amp; Edit</t>
  </si>
  <si>
    <t>Keterangan</t>
  </si>
  <si>
    <t xml:space="preserve">komponen penghitung bonus bulanan terdiri dari 3 faktor   </t>
  </si>
  <si>
    <t>A. Alokasi Bonus Bulanan</t>
  </si>
  <si>
    <t>C. Indikator Omset</t>
  </si>
  <si>
    <t>1. Alokasi bonus bulanan per jabatan</t>
  </si>
  <si>
    <t>Persentase</t>
  </si>
  <si>
    <t>Tier</t>
  </si>
  <si>
    <t>Target omset</t>
  </si>
  <si>
    <t>Pengali Bonus</t>
  </si>
  <si>
    <t>2. Grading KPI yang diperoleh tiap bulan serta</t>
  </si>
  <si>
    <t>Bonus Aktif Tier I</t>
  </si>
  <si>
    <t>3. Omset yang didapat perusahaan tiap bulan. Tiap komponen berpengaruh pada bonus yang akan diperoleh</t>
  </si>
  <si>
    <t>Bonus Aktif Tier II</t>
  </si>
  <si>
    <t xml:space="preserve">Tentukan alokasi bonus tiap jabatan </t>
  </si>
  <si>
    <t>Bonus Aktif Tier III</t>
  </si>
  <si>
    <t>Nilai KPI didapatkan dari hasil penilaian kinerja bulanan</t>
  </si>
  <si>
    <t>Indikator omest merupakan indikator dari omset perusahaan yang didapatkan pada bulan berjalan</t>
  </si>
  <si>
    <t>b. Grading KPI</t>
  </si>
  <si>
    <t>Score</t>
  </si>
  <si>
    <t>Grade KPI</t>
  </si>
  <si>
    <t>Persentase
Perolehan</t>
  </si>
  <si>
    <t>≥ 95 (Excellent)</t>
  </si>
  <si>
    <t>A</t>
  </si>
  <si>
    <t>85 - 94 (Very Good)</t>
  </si>
  <si>
    <t>B</t>
  </si>
  <si>
    <t>75 - 84 (Good)</t>
  </si>
  <si>
    <t>C</t>
  </si>
  <si>
    <t>65 - 74 (Below Target)</t>
  </si>
  <si>
    <t>D</t>
  </si>
  <si>
    <t>&lt; 65 (Poor)</t>
  </si>
  <si>
    <t>E</t>
  </si>
  <si>
    <t>Target Penjualan Bulanan</t>
  </si>
  <si>
    <t xml:space="preserve">Pencapaian </t>
  </si>
  <si>
    <t>Besaran 
Komisi</t>
  </si>
  <si>
    <t>BONUS BULANAN</t>
  </si>
  <si>
    <t>Nama</t>
  </si>
  <si>
    <t>Departemen</t>
  </si>
  <si>
    <t>Periode KPI</t>
  </si>
  <si>
    <t>Score KPI</t>
  </si>
  <si>
    <t>Gaji Pokok</t>
  </si>
  <si>
    <t>Persentase
Bonus</t>
  </si>
  <si>
    <t>Sales Bonus Project</t>
  </si>
  <si>
    <t>Target Bulanan</t>
  </si>
  <si>
    <t>Persentase
Capaian</t>
  </si>
  <si>
    <t>Additional</t>
  </si>
  <si>
    <t>Komisi</t>
  </si>
  <si>
    <t>Sales 2</t>
  </si>
  <si>
    <t>Metode KPI</t>
  </si>
  <si>
    <t>Persentase
Komisi</t>
  </si>
  <si>
    <t>Total Komisi</t>
  </si>
  <si>
    <t>Grand Total</t>
  </si>
  <si>
    <t>Bonus
Bulanan</t>
  </si>
  <si>
    <t>Engineer Bonus Project (Diambil dari jumlah komisi sales x 5%)</t>
  </si>
  <si>
    <t>Total All Bonus</t>
  </si>
  <si>
    <t>Persentase
Total Bonus/ Omset</t>
  </si>
  <si>
    <t>Additonal
Bonus</t>
  </si>
  <si>
    <t>Tingkat Konversi Penjualan (Sales Conversion Rate)</t>
  </si>
  <si>
    <t>efektivitas proses penjualan dari prospek menjadi pelanggan.</t>
  </si>
  <si>
    <t>Rasio Efisiensi Operasional (Operating Efficiency Ratio)</t>
  </si>
  <si>
    <t>Persentase biaya dibandingkan pendapatan.</t>
  </si>
  <si>
    <t xml:space="preserve">Kecepatan Respon </t>
  </si>
  <si>
    <t>Content Engagement Rate</t>
  </si>
  <si>
    <t>Kalo</t>
  </si>
  <si>
    <t>rasio klik, share, komentar, atau waktu baca konten</t>
  </si>
  <si>
    <t>ontribution to Revenue 
(Marketing-Sourced Revenue)</t>
  </si>
  <si>
    <t>persentase penjualan yang berasal dari
aktivitas marketing</t>
  </si>
  <si>
    <t>Yadi</t>
  </si>
  <si>
    <t>Sanjaya</t>
  </si>
  <si>
    <t>Arie Putra</t>
  </si>
  <si>
    <t>Evan</t>
  </si>
  <si>
    <t>(Masukkan gaji pokok)</t>
  </si>
  <si>
    <t>Penyelesaian keseluruhan
project</t>
  </si>
  <si>
    <t>Improvement</t>
  </si>
  <si>
    <t>Persentase penyelesaian improvement</t>
  </si>
  <si>
    <t>Kesesuaian hasil pekerjaan</t>
  </si>
  <si>
    <t>Safety</t>
  </si>
  <si>
    <t>Dokumentasi</t>
  </si>
  <si>
    <t>Persentase penyelesaian keseluruhan project dalam bulan berjalan (termasuk trouble shooting)</t>
  </si>
  <si>
    <t>Dokumentasi pekerjaan di arsipkan dengan baik</t>
  </si>
  <si>
    <t>Kepuasan klien terhadap hasil pekerjaan (tidak ada komplain, retur, dsb)</t>
  </si>
  <si>
    <t>Seluruh pekerjaan baik fabrikasi maupun instalasi dilakukan dengan aman dan memperhatikan faktor K3 (no safety issue)</t>
  </si>
  <si>
    <t>Jumlah customer yang dikunjungi tiap bulan (termasuk folwup)</t>
  </si>
  <si>
    <t>Omset Bersih</t>
  </si>
  <si>
    <t>Input Biaya</t>
  </si>
  <si>
    <t>Pajak</t>
  </si>
  <si>
    <t>Biaya Kirim</t>
  </si>
  <si>
    <t>Baiya Lain</t>
  </si>
  <si>
    <t>Omset Kotor</t>
  </si>
  <si>
    <t>&lt;otomatis dari KPI&gt;</t>
  </si>
  <si>
    <t>Total Omset Bersih</t>
  </si>
  <si>
    <t>Bonus
Project/ Komisi</t>
  </si>
  <si>
    <t>Biaya Pajak All</t>
  </si>
  <si>
    <t>Biaya Pengiriman All</t>
  </si>
  <si>
    <t>Biaya Lain-lain All</t>
  </si>
  <si>
    <t>&lt;input dari biaya sheet bonus project)</t>
  </si>
  <si>
    <t>Pencapaian
(Omset Kotor)</t>
  </si>
  <si>
    <t>Juli 2026</t>
  </si>
  <si>
    <t>Jeremia</t>
  </si>
  <si>
    <t>HR</t>
  </si>
  <si>
    <t>Note</t>
  </si>
  <si>
    <t xml:space="preserve">Tinjau kembali pemberian komisi. </t>
  </si>
  <si>
    <t xml:space="preserve">Komisi yang ini dihitung dari keseluruhan nett hasil penjualan. </t>
  </si>
  <si>
    <t>Tidak dihitung per persentase jenis item yang dikerjakan seperti yang di rekap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</si>
</sst>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[$Rp-421]* #,##0_-;\-[$Rp-421]* #,##0_-;_-[$Rp-421]* &quot;-&quot;_-;_-@_-"/>
    <numFmt numFmtId="166" formatCode="_(* #,##0_);_(* \(#,##0\);_(* &quot;-&quot;??_);_(@_)"/>
    <numFmt numFmtId="167" formatCode="0\ &quot;%&quot;"/>
    <numFmt numFmtId="168" formatCode="#\ &quot;%&quot;"/>
    <numFmt numFmtId="169" formatCode="&quot;&lt;&quot;\ #\ &quot;%&quot;"/>
  </numFmts>
  <fonts count="24">
    <font>
      <sz val="11"/>
      <name val="Calibri"/>
      <charset val="134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color theme="1"/>
      <name val="Calibri Light"/>
      <family val="2"/>
      <scheme val="major"/>
    </font>
    <font>
      <sz val="14"/>
      <name val="Calibri"/>
      <family val="2"/>
    </font>
    <font>
      <sz val="11"/>
      <color theme="1"/>
      <name val="Calibri Light"/>
      <family val="2"/>
      <scheme val="major"/>
    </font>
    <font>
      <sz val="11"/>
      <color rgb="FFFF0000"/>
      <name val="Calibri"/>
      <family val="2"/>
    </font>
    <font>
      <b/>
      <u/>
      <sz val="14"/>
      <name val="Calibri"/>
      <family val="2"/>
    </font>
    <font>
      <sz val="9"/>
      <name val="Tahoma"/>
      <family val="2"/>
    </font>
    <font>
      <b/>
      <sz val="9"/>
      <name val="Tahoma"/>
      <family val="2"/>
    </font>
    <font>
      <sz val="10"/>
      <name val="SimSun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rgb="FF000000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hair">
        <color rgb="FF00000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/>
      <top style="hair">
        <color auto="1"/>
      </top>
      <bottom style="hair">
        <color rgb="FF000000"/>
      </bottom>
      <diagonal/>
    </border>
    <border>
      <left/>
      <right/>
      <top style="hair">
        <color auto="1"/>
      </top>
      <bottom style="hair">
        <color rgb="FF000000"/>
      </bottom>
      <diagonal/>
    </border>
    <border>
      <left/>
      <right style="medium">
        <color rgb="FF000000"/>
      </right>
      <top style="hair">
        <color auto="1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hair">
        <color rgb="FF000000"/>
      </top>
      <bottom style="medium">
        <color auto="1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hair">
        <color rgb="FF000000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medium">
        <color rgb="FF000000"/>
      </right>
      <top style="hair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/>
      <right style="medium">
        <color rgb="FF000000"/>
      </right>
      <top style="medium">
        <color auto="1"/>
      </top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6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 wrapText="1"/>
    </xf>
    <xf numFmtId="165" fontId="0" fillId="0" borderId="1" xfId="1" applyNumberFormat="1" applyFont="1" applyBorder="1"/>
    <xf numFmtId="165" fontId="0" fillId="0" borderId="1" xfId="0" applyNumberFormat="1" applyBorder="1"/>
    <xf numFmtId="165" fontId="3" fillId="0" borderId="1" xfId="0" applyNumberFormat="1" applyFont="1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166" fontId="0" fillId="0" borderId="0" xfId="0" applyNumberFormat="1"/>
    <xf numFmtId="0" fontId="0" fillId="0" borderId="0" xfId="0" applyAlignment="1">
      <alignment vertical="center"/>
    </xf>
    <xf numFmtId="166" fontId="0" fillId="0" borderId="0" xfId="1" applyNumberFormat="1" applyFont="1"/>
    <xf numFmtId="0" fontId="5" fillId="0" borderId="0" xfId="0" applyFont="1"/>
    <xf numFmtId="0" fontId="0" fillId="0" borderId="3" xfId="0" applyBorder="1"/>
    <xf numFmtId="0" fontId="0" fillId="0" borderId="4" xfId="0" applyBorder="1"/>
    <xf numFmtId="0" fontId="3" fillId="0" borderId="4" xfId="0" applyFont="1" applyBorder="1"/>
    <xf numFmtId="0" fontId="0" fillId="0" borderId="5" xfId="0" applyBorder="1"/>
    <xf numFmtId="0" fontId="2" fillId="0" borderId="0" xfId="0" applyFont="1"/>
    <xf numFmtId="0" fontId="2" fillId="4" borderId="1" xfId="0" applyFont="1" applyFill="1" applyBorder="1"/>
    <xf numFmtId="0" fontId="0" fillId="0" borderId="5" xfId="0" applyBorder="1" applyAlignment="1">
      <alignment vertical="center"/>
    </xf>
    <xf numFmtId="0" fontId="6" fillId="0" borderId="1" xfId="0" applyFont="1" applyBorder="1"/>
    <xf numFmtId="0" fontId="3" fillId="0" borderId="1" xfId="0" applyFont="1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2" fillId="4" borderId="1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166" fontId="3" fillId="7" borderId="1" xfId="1" applyNumberFormat="1" applyFont="1" applyFill="1" applyBorder="1"/>
    <xf numFmtId="0" fontId="3" fillId="0" borderId="8" xfId="0" applyFont="1" applyBorder="1"/>
    <xf numFmtId="166" fontId="0" fillId="0" borderId="0" xfId="1" applyNumberFormat="1" applyFont="1" applyBorder="1"/>
    <xf numFmtId="166" fontId="0" fillId="0" borderId="0" xfId="1" applyNumberFormat="1" applyFont="1" applyBorder="1" applyAlignment="1">
      <alignment vertical="center"/>
    </xf>
    <xf numFmtId="166" fontId="0" fillId="0" borderId="7" xfId="1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1" fillId="0" borderId="0" xfId="0" applyFont="1"/>
    <xf numFmtId="0" fontId="1" fillId="0" borderId="14" xfId="0" applyFont="1" applyBorder="1"/>
    <xf numFmtId="0" fontId="8" fillId="0" borderId="0" xfId="0" applyFont="1"/>
    <xf numFmtId="0" fontId="9" fillId="0" borderId="14" xfId="0" applyFont="1" applyBorder="1"/>
    <xf numFmtId="0" fontId="9" fillId="0" borderId="0" xfId="0" applyFont="1"/>
    <xf numFmtId="0" fontId="8" fillId="0" borderId="1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7" fillId="0" borderId="3" xfId="0" applyFont="1" applyBorder="1"/>
    <xf numFmtId="0" fontId="9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1" fillId="0" borderId="0" xfId="0" applyFont="1"/>
    <xf numFmtId="0" fontId="1" fillId="0" borderId="1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27" xfId="0" applyFont="1" applyBorder="1"/>
    <xf numFmtId="0" fontId="6" fillId="0" borderId="0" xfId="0" applyFont="1"/>
    <xf numFmtId="0" fontId="1" fillId="0" borderId="15" xfId="0" applyFont="1" applyBorder="1"/>
    <xf numFmtId="0" fontId="6" fillId="0" borderId="16" xfId="0" applyFont="1" applyBorder="1"/>
    <xf numFmtId="0" fontId="1" fillId="0" borderId="16" xfId="0" applyFont="1" applyBorder="1"/>
    <xf numFmtId="0" fontId="1" fillId="0" borderId="27" xfId="0" applyFont="1" applyBorder="1" applyAlignment="1">
      <alignment horizontal="left"/>
    </xf>
    <xf numFmtId="0" fontId="6" fillId="0" borderId="28" xfId="0" applyFont="1" applyBorder="1"/>
    <xf numFmtId="0" fontId="1" fillId="0" borderId="28" xfId="0" applyFont="1" applyBorder="1"/>
    <xf numFmtId="0" fontId="8" fillId="2" borderId="17" xfId="0" applyFont="1" applyFill="1" applyBorder="1" applyAlignment="1">
      <alignment horizontal="center"/>
    </xf>
    <xf numFmtId="9" fontId="1" fillId="0" borderId="31" xfId="0" applyNumberFormat="1" applyFont="1" applyBorder="1" applyAlignment="1">
      <alignment horizontal="center" vertical="center"/>
    </xf>
    <xf numFmtId="9" fontId="1" fillId="0" borderId="33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9" fontId="1" fillId="0" borderId="38" xfId="0" applyNumberFormat="1" applyFont="1" applyBorder="1" applyAlignment="1">
      <alignment horizontal="center" vertical="center"/>
    </xf>
    <xf numFmtId="9" fontId="8" fillId="0" borderId="40" xfId="0" applyNumberFormat="1" applyFont="1" applyBorder="1" applyAlignment="1">
      <alignment horizontal="center" vertical="center"/>
    </xf>
    <xf numFmtId="164" fontId="8" fillId="0" borderId="41" xfId="0" applyNumberFormat="1" applyFont="1" applyBorder="1" applyAlignment="1">
      <alignment horizontal="left"/>
    </xf>
    <xf numFmtId="0" fontId="8" fillId="0" borderId="0" xfId="0" applyFont="1" applyAlignment="1">
      <alignment horizontal="center"/>
    </xf>
    <xf numFmtId="9" fontId="8" fillId="0" borderId="41" xfId="0" applyNumberFormat="1" applyFont="1" applyBorder="1" applyAlignment="1">
      <alignment horizontal="center"/>
    </xf>
    <xf numFmtId="0" fontId="13" fillId="0" borderId="4" xfId="0" applyFont="1" applyBorder="1"/>
    <xf numFmtId="0" fontId="8" fillId="0" borderId="41" xfId="0" applyFont="1" applyBorder="1" applyAlignment="1">
      <alignment horizontal="center" vertical="center"/>
    </xf>
    <xf numFmtId="0" fontId="8" fillId="7" borderId="4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9" fontId="1" fillId="0" borderId="44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49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9" fontId="8" fillId="0" borderId="41" xfId="0" applyNumberFormat="1" applyFont="1" applyBorder="1" applyAlignment="1">
      <alignment horizontal="center" vertical="center"/>
    </xf>
    <xf numFmtId="164" fontId="8" fillId="0" borderId="41" xfId="0" applyNumberFormat="1" applyFont="1" applyBorder="1"/>
    <xf numFmtId="2" fontId="14" fillId="0" borderId="4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/>
    </xf>
    <xf numFmtId="166" fontId="1" fillId="0" borderId="31" xfId="1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3" xfId="1" applyNumberFormat="1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166" fontId="1" fillId="0" borderId="54" xfId="0" applyNumberFormat="1" applyFont="1" applyBorder="1" applyAlignment="1">
      <alignment horizontal="center" vertical="center"/>
    </xf>
    <xf numFmtId="0" fontId="1" fillId="0" borderId="54" xfId="0" applyFont="1" applyBorder="1" applyAlignment="1">
      <alignment horizontal="right" vertical="center"/>
    </xf>
    <xf numFmtId="9" fontId="1" fillId="0" borderId="14" xfId="0" applyNumberFormat="1" applyFont="1" applyBorder="1" applyAlignment="1">
      <alignment vertical="center"/>
    </xf>
    <xf numFmtId="2" fontId="8" fillId="0" borderId="41" xfId="0" applyNumberFormat="1" applyFont="1" applyBorder="1" applyAlignment="1">
      <alignment horizontal="center"/>
    </xf>
    <xf numFmtId="0" fontId="8" fillId="2" borderId="41" xfId="0" applyFont="1" applyFill="1" applyBorder="1" applyAlignment="1">
      <alignment horizontal="center"/>
    </xf>
    <xf numFmtId="2" fontId="8" fillId="0" borderId="41" xfId="0" applyNumberFormat="1" applyFont="1" applyBorder="1"/>
    <xf numFmtId="0" fontId="9" fillId="0" borderId="0" xfId="0" applyFont="1" applyAlignment="1">
      <alignment horizontal="center"/>
    </xf>
    <xf numFmtId="0" fontId="1" fillId="0" borderId="55" xfId="0" applyFont="1" applyBorder="1"/>
    <xf numFmtId="0" fontId="8" fillId="7" borderId="17" xfId="0" applyFont="1" applyFill="1" applyBorder="1" applyAlignment="1">
      <alignment horizontal="center"/>
    </xf>
    <xf numFmtId="0" fontId="1" fillId="0" borderId="57" xfId="0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2" fontId="8" fillId="0" borderId="58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2" fontId="8" fillId="0" borderId="40" xfId="0" applyNumberFormat="1" applyFont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55" xfId="0" applyFont="1" applyBorder="1" applyAlignment="1">
      <alignment vertical="center"/>
    </xf>
    <xf numFmtId="0" fontId="1" fillId="0" borderId="39" xfId="0" applyFont="1" applyBorder="1"/>
    <xf numFmtId="0" fontId="1" fillId="0" borderId="59" xfId="0" applyFont="1" applyBorder="1" applyAlignment="1">
      <alignment horizontal="center" vertical="center"/>
    </xf>
    <xf numFmtId="0" fontId="8" fillId="0" borderId="0" xfId="0" quotePrefix="1" applyFont="1" applyAlignment="1">
      <alignment horizontal="center"/>
    </xf>
    <xf numFmtId="0" fontId="9" fillId="0" borderId="0" xfId="0" quotePrefix="1" applyFont="1" applyAlignment="1">
      <alignment horizontal="center" vertical="center"/>
    </xf>
    <xf numFmtId="165" fontId="0" fillId="0" borderId="0" xfId="0" applyNumberFormat="1"/>
    <xf numFmtId="0" fontId="0" fillId="0" borderId="60" xfId="0" applyBorder="1"/>
    <xf numFmtId="0" fontId="2" fillId="8" borderId="0" xfId="0" applyFont="1" applyFill="1" applyAlignment="1">
      <alignment horizontal="left" vertical="center"/>
    </xf>
    <xf numFmtId="0" fontId="0" fillId="8" borderId="0" xfId="0" applyFill="1"/>
    <xf numFmtId="0" fontId="2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165" fontId="0" fillId="6" borderId="1" xfId="1" applyNumberFormat="1" applyFont="1" applyFill="1" applyBorder="1"/>
    <xf numFmtId="165" fontId="21" fillId="0" borderId="1" xfId="0" applyNumberFormat="1" applyFont="1" applyBorder="1"/>
    <xf numFmtId="165" fontId="0" fillId="9" borderId="1" xfId="0" applyNumberFormat="1" applyFill="1" applyBorder="1"/>
    <xf numFmtId="168" fontId="0" fillId="0" borderId="1" xfId="2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165" fontId="0" fillId="10" borderId="1" xfId="0" applyNumberFormat="1" applyFill="1" applyBorder="1"/>
    <xf numFmtId="0" fontId="18" fillId="0" borderId="0" xfId="0" applyFont="1" applyAlignment="1">
      <alignment horizontal="center" vertical="center"/>
    </xf>
    <xf numFmtId="10" fontId="0" fillId="0" borderId="1" xfId="2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21" fillId="0" borderId="1" xfId="2" applyNumberFormat="1" applyFont="1" applyBorder="1" applyAlignment="1">
      <alignment horizontal="center"/>
    </xf>
    <xf numFmtId="0" fontId="18" fillId="8" borderId="0" xfId="0" applyFont="1" applyFill="1"/>
    <xf numFmtId="165" fontId="0" fillId="11" borderId="0" xfId="0" applyNumberFormat="1" applyFill="1"/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/>
    </xf>
    <xf numFmtId="0" fontId="8" fillId="0" borderId="57" xfId="0" applyFont="1" applyBorder="1" applyAlignment="1">
      <alignment horizontal="center"/>
    </xf>
    <xf numFmtId="0" fontId="8" fillId="2" borderId="64" xfId="0" applyFont="1" applyFill="1" applyBorder="1" applyAlignment="1">
      <alignment horizontal="center"/>
    </xf>
    <xf numFmtId="0" fontId="8" fillId="7" borderId="6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" fillId="0" borderId="65" xfId="0" applyFont="1" applyBorder="1" applyAlignment="1">
      <alignment horizontal="center" vertical="center"/>
    </xf>
    <xf numFmtId="9" fontId="1" fillId="0" borderId="54" xfId="0" applyNumberFormat="1" applyFont="1" applyBorder="1" applyAlignment="1">
      <alignment horizontal="center" vertical="center"/>
    </xf>
    <xf numFmtId="166" fontId="1" fillId="0" borderId="54" xfId="1" applyNumberFormat="1" applyFont="1" applyBorder="1" applyAlignment="1">
      <alignment horizontal="center" vertical="center"/>
    </xf>
    <xf numFmtId="2" fontId="8" fillId="0" borderId="70" xfId="0" applyNumberFormat="1" applyFont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165" fontId="0" fillId="13" borderId="1" xfId="0" applyNumberFormat="1" applyFill="1" applyBorder="1"/>
    <xf numFmtId="9" fontId="1" fillId="0" borderId="71" xfId="0" applyNumberFormat="1" applyFont="1" applyBorder="1" applyAlignment="1">
      <alignment horizontal="center" vertical="center"/>
    </xf>
    <xf numFmtId="166" fontId="1" fillId="0" borderId="71" xfId="1" applyNumberFormat="1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2" fontId="8" fillId="0" borderId="72" xfId="0" applyNumberFormat="1" applyFont="1" applyBorder="1" applyAlignment="1">
      <alignment horizontal="center" vertical="center"/>
    </xf>
    <xf numFmtId="166" fontId="1" fillId="0" borderId="38" xfId="1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9" fontId="1" fillId="0" borderId="74" xfId="0" applyNumberFormat="1" applyFont="1" applyBorder="1" applyAlignment="1">
      <alignment horizontal="center" vertical="center"/>
    </xf>
    <xf numFmtId="166" fontId="1" fillId="0" borderId="72" xfId="1" applyNumberFormat="1" applyFont="1" applyBorder="1" applyAlignment="1">
      <alignment horizontal="center" vertical="center"/>
    </xf>
    <xf numFmtId="9" fontId="1" fillId="0" borderId="75" xfId="0" applyNumberFormat="1" applyFont="1" applyBorder="1" applyAlignment="1">
      <alignment horizontal="center" vertical="center"/>
    </xf>
    <xf numFmtId="166" fontId="1" fillId="0" borderId="76" xfId="1" applyNumberFormat="1" applyFont="1" applyBorder="1" applyAlignment="1">
      <alignment horizontal="center" vertical="center"/>
    </xf>
    <xf numFmtId="9" fontId="1" fillId="0" borderId="77" xfId="0" applyNumberFormat="1" applyFont="1" applyBorder="1" applyAlignment="1">
      <alignment horizontal="center" vertical="center"/>
    </xf>
    <xf numFmtId="9" fontId="0" fillId="4" borderId="1" xfId="2" applyFont="1" applyFill="1" applyBorder="1"/>
    <xf numFmtId="0" fontId="0" fillId="4" borderId="1" xfId="0" applyFill="1" applyBorder="1"/>
    <xf numFmtId="9" fontId="0" fillId="4" borderId="1" xfId="0" applyNumberFormat="1" applyFill="1" applyBorder="1" applyAlignment="1">
      <alignment horizontal="center"/>
    </xf>
    <xf numFmtId="9" fontId="0" fillId="4" borderId="1" xfId="2" applyFont="1" applyFill="1" applyBorder="1" applyAlignment="1">
      <alignment horizontal="center"/>
    </xf>
    <xf numFmtId="165" fontId="0" fillId="4" borderId="1" xfId="1" applyNumberFormat="1" applyFont="1" applyFill="1" applyBorder="1"/>
    <xf numFmtId="166" fontId="0" fillId="0" borderId="1" xfId="1" applyNumberFormat="1" applyFont="1" applyBorder="1"/>
    <xf numFmtId="166" fontId="0" fillId="0" borderId="80" xfId="1" applyNumberFormat="1" applyFont="1" applyBorder="1"/>
    <xf numFmtId="166" fontId="5" fillId="14" borderId="79" xfId="1" applyNumberFormat="1" applyFont="1" applyFill="1" applyBorder="1"/>
    <xf numFmtId="166" fontId="4" fillId="15" borderId="8" xfId="1" applyNumberFormat="1" applyFont="1" applyFill="1" applyBorder="1"/>
    <xf numFmtId="0" fontId="3" fillId="11" borderId="0" xfId="0" applyFont="1" applyFill="1"/>
    <xf numFmtId="165" fontId="21" fillId="0" borderId="8" xfId="0" applyNumberFormat="1" applyFont="1" applyBorder="1"/>
    <xf numFmtId="166" fontId="1" fillId="0" borderId="76" xfId="1" applyNumberFormat="1" applyFont="1" applyFill="1" applyBorder="1" applyAlignment="1">
      <alignment horizontal="center" vertical="center"/>
    </xf>
    <xf numFmtId="166" fontId="1" fillId="0" borderId="78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6" fontId="22" fillId="0" borderId="0" xfId="1" applyNumberFormat="1" applyFont="1" applyAlignment="1">
      <alignment horizontal="left"/>
    </xf>
    <xf numFmtId="0" fontId="22" fillId="0" borderId="0" xfId="0" applyFont="1"/>
    <xf numFmtId="0" fontId="1" fillId="0" borderId="51" xfId="0" applyFont="1" applyBorder="1" applyAlignment="1">
      <alignment horizontal="left"/>
    </xf>
    <xf numFmtId="0" fontId="0" fillId="0" borderId="52" xfId="0" applyBorder="1"/>
    <xf numFmtId="2" fontId="8" fillId="0" borderId="14" xfId="0" applyNumberFormat="1" applyFont="1" applyBorder="1" applyAlignment="1">
      <alignment horizontal="center" vertical="center"/>
    </xf>
    <xf numFmtId="0" fontId="0" fillId="0" borderId="55" xfId="0" applyBorder="1"/>
    <xf numFmtId="0" fontId="8" fillId="0" borderId="42" xfId="0" applyFont="1" applyBorder="1" applyAlignment="1">
      <alignment horizontal="center" vertical="center"/>
    </xf>
    <xf numFmtId="0" fontId="0" fillId="0" borderId="53" xfId="0" applyBorder="1"/>
    <xf numFmtId="0" fontId="0" fillId="0" borderId="43" xfId="0" applyBorder="1"/>
    <xf numFmtId="2" fontId="8" fillId="0" borderId="42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56" xfId="0" applyBorder="1" applyAlignment="1">
      <alignment vertical="center"/>
    </xf>
    <xf numFmtId="0" fontId="0" fillId="0" borderId="40" xfId="0" applyBorder="1" applyAlignment="1">
      <alignment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6" fillId="0" borderId="47" xfId="0" applyFont="1" applyBorder="1" applyAlignment="1">
      <alignment horizontal="left" vertical="center"/>
    </xf>
    <xf numFmtId="0" fontId="0" fillId="0" borderId="48" xfId="0" applyBorder="1"/>
    <xf numFmtId="2" fontId="8" fillId="0" borderId="47" xfId="0" applyNumberFormat="1" applyFont="1" applyBorder="1" applyAlignment="1">
      <alignment horizontal="center" vertical="center"/>
    </xf>
    <xf numFmtId="0" fontId="1" fillId="0" borderId="47" xfId="0" applyFont="1" applyBorder="1" applyAlignment="1">
      <alignment horizontal="left" vertical="center"/>
    </xf>
    <xf numFmtId="0" fontId="8" fillId="0" borderId="42" xfId="0" applyFont="1" applyBorder="1" applyAlignment="1">
      <alignment horizontal="center"/>
    </xf>
    <xf numFmtId="0" fontId="6" fillId="0" borderId="45" xfId="0" applyFont="1" applyBorder="1" applyAlignment="1">
      <alignment horizontal="left" vertical="center"/>
    </xf>
    <xf numFmtId="0" fontId="0" fillId="0" borderId="46" xfId="0" applyBorder="1"/>
    <xf numFmtId="2" fontId="8" fillId="0" borderId="4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9" xfId="0" applyBorder="1"/>
    <xf numFmtId="0" fontId="8" fillId="0" borderId="12" xfId="0" applyFont="1" applyBorder="1" applyAlignment="1">
      <alignment horizontal="center"/>
    </xf>
    <xf numFmtId="0" fontId="0" fillId="0" borderId="13" xfId="0" applyBorder="1"/>
    <xf numFmtId="0" fontId="0" fillId="0" borderId="18" xfId="0" applyBorder="1"/>
    <xf numFmtId="0" fontId="10" fillId="0" borderId="3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66" xfId="0" applyFont="1" applyBorder="1" applyAlignment="1">
      <alignment horizontal="left" vertical="center"/>
    </xf>
    <xf numFmtId="0" fontId="10" fillId="0" borderId="67" xfId="0" applyFont="1" applyBorder="1" applyAlignment="1">
      <alignment horizontal="left" vertical="center"/>
    </xf>
    <xf numFmtId="0" fontId="10" fillId="0" borderId="66" xfId="0" applyFont="1" applyBorder="1" applyAlignment="1">
      <alignment horizontal="left" vertical="center" wrapText="1"/>
    </xf>
    <xf numFmtId="0" fontId="10" fillId="0" borderId="68" xfId="0" applyFont="1" applyBorder="1" applyAlignment="1">
      <alignment horizontal="left" vertical="center" wrapText="1"/>
    </xf>
    <xf numFmtId="0" fontId="10" fillId="0" borderId="69" xfId="0" applyFont="1" applyBorder="1" applyAlignment="1">
      <alignment horizontal="left" vertical="center" wrapText="1"/>
    </xf>
    <xf numFmtId="0" fontId="8" fillId="0" borderId="63" xfId="0" applyFont="1" applyBorder="1" applyAlignment="1">
      <alignment horizontal="center"/>
    </xf>
    <xf numFmtId="0" fontId="0" fillId="0" borderId="4" xfId="0" applyBorder="1"/>
    <xf numFmtId="0" fontId="0" fillId="0" borderId="57" xfId="0" applyBorder="1"/>
    <xf numFmtId="0" fontId="10" fillId="0" borderId="3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61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/>
    </xf>
    <xf numFmtId="0" fontId="1" fillId="0" borderId="59" xfId="0" applyFont="1" applyBorder="1" applyAlignment="1">
      <alignment horizontal="left" vertical="center"/>
    </xf>
    <xf numFmtId="0" fontId="10" fillId="0" borderId="29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32" xfId="0" applyFont="1" applyBorder="1" applyAlignment="1">
      <alignment horizontal="left" vertical="center" wrapText="1"/>
    </xf>
    <xf numFmtId="0" fontId="10" fillId="0" borderId="66" xfId="0" applyFont="1" applyBorder="1" applyAlignment="1">
      <alignment horizontal="left" vertical="top" wrapText="1"/>
    </xf>
    <xf numFmtId="0" fontId="12" fillId="0" borderId="68" xfId="0" applyFont="1" applyBorder="1" applyAlignment="1">
      <alignment horizontal="left" vertical="top" wrapText="1"/>
    </xf>
    <xf numFmtId="0" fontId="0" fillId="12" borderId="2" xfId="0" applyFill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5"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5" tint="0.59996337778862885"/>
        </patternFill>
      </fill>
    </dxf>
    <dxf>
      <fill>
        <patternFill patternType="solid">
          <bgColor rgb="FFFF505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FF5050"/>
      <color rgb="FFF40C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www.wps.cn/officeDocument/2021/sharedlinks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3</xdr:row>
      <xdr:rowOff>45720</xdr:rowOff>
    </xdr:from>
    <xdr:to>
      <xdr:col>3</xdr:col>
      <xdr:colOff>441960</xdr:colOff>
      <xdr:row>4</xdr:row>
      <xdr:rowOff>152400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2983865" y="678815"/>
          <a:ext cx="144780" cy="287655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rgbClr val="92D050"/>
            </a:solidFill>
          </a:endParaRPr>
        </a:p>
      </xdr:txBody>
    </xdr:sp>
    <xdr:clientData/>
  </xdr:twoCellAnchor>
  <xdr:twoCellAnchor>
    <xdr:from>
      <xdr:col>8</xdr:col>
      <xdr:colOff>556260</xdr:colOff>
      <xdr:row>3</xdr:row>
      <xdr:rowOff>7620</xdr:rowOff>
    </xdr:from>
    <xdr:to>
      <xdr:col>8</xdr:col>
      <xdr:colOff>701040</xdr:colOff>
      <xdr:row>4</xdr:row>
      <xdr:rowOff>114300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8807450" y="640715"/>
          <a:ext cx="144780" cy="287655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rgbClr val="92D050"/>
            </a:solidFill>
          </a:endParaRPr>
        </a:p>
      </xdr:txBody>
    </xdr:sp>
    <xdr:clientData/>
  </xdr:twoCellAnchor>
  <xdr:twoCellAnchor>
    <xdr:from>
      <xdr:col>7</xdr:col>
      <xdr:colOff>556260</xdr:colOff>
      <xdr:row>3</xdr:row>
      <xdr:rowOff>7620</xdr:rowOff>
    </xdr:from>
    <xdr:to>
      <xdr:col>7</xdr:col>
      <xdr:colOff>701040</xdr:colOff>
      <xdr:row>4</xdr:row>
      <xdr:rowOff>114300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7643495" y="640715"/>
          <a:ext cx="144780" cy="287655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rgbClr val="92D050"/>
            </a:solidFill>
          </a:endParaRPr>
        </a:p>
      </xdr:txBody>
    </xdr:sp>
    <xdr:clientData/>
  </xdr:twoCellAnchor>
  <xdr:twoCellAnchor>
    <xdr:from>
      <xdr:col>3</xdr:col>
      <xdr:colOff>297180</xdr:colOff>
      <xdr:row>28</xdr:row>
      <xdr:rowOff>45720</xdr:rowOff>
    </xdr:from>
    <xdr:to>
      <xdr:col>3</xdr:col>
      <xdr:colOff>441960</xdr:colOff>
      <xdr:row>29</xdr:row>
      <xdr:rowOff>152400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2983865" y="5431790"/>
          <a:ext cx="144780" cy="287655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rgbClr val="92D050"/>
            </a:solidFill>
          </a:endParaRPr>
        </a:p>
      </xdr:txBody>
    </xdr:sp>
    <xdr:clientData/>
  </xdr:twoCellAnchor>
  <xdr:twoCellAnchor>
    <xdr:from>
      <xdr:col>4</xdr:col>
      <xdr:colOff>297180</xdr:colOff>
      <xdr:row>15</xdr:row>
      <xdr:rowOff>45720</xdr:rowOff>
    </xdr:from>
    <xdr:to>
      <xdr:col>4</xdr:col>
      <xdr:colOff>441960</xdr:colOff>
      <xdr:row>16</xdr:row>
      <xdr:rowOff>152400</xdr:rowOff>
    </xdr:to>
    <xdr:sp macro="" textlink="">
      <xdr:nvSpPr>
        <xdr:cNvPr id="7" name="Arrow: Down 6">
          <a:extLst>
            <a:ext uri="{FF2B5EF4-FFF2-40B4-BE49-F238E27FC236}">
              <a16:creationId xmlns:a16="http://schemas.microsoft.com/office/drawing/2014/main" id="{962915A4-1945-4E6B-93E4-6199BAE05027}"/>
            </a:ext>
          </a:extLst>
        </xdr:cNvPr>
        <xdr:cNvSpPr/>
      </xdr:nvSpPr>
      <xdr:spPr>
        <a:xfrm>
          <a:off x="2862580" y="680720"/>
          <a:ext cx="144780" cy="290830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rgbClr val="92D05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547457</xdr:colOff>
      <xdr:row>0</xdr:row>
      <xdr:rowOff>59184</xdr:rowOff>
    </xdr:from>
    <xdr:to>
      <xdr:col>8</xdr:col>
      <xdr:colOff>692237</xdr:colOff>
      <xdr:row>1</xdr:row>
      <xdr:rowOff>166264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98F1F684-13B9-4411-98C2-32DF06A97075}"/>
            </a:ext>
          </a:extLst>
        </xdr:cNvPr>
        <xdr:cNvSpPr/>
      </xdr:nvSpPr>
      <xdr:spPr>
        <a:xfrm>
          <a:off x="7679185" y="59184"/>
          <a:ext cx="144780" cy="292031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rgbClr val="92D05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showGridLines="0" zoomScale="70" zoomScaleNormal="70" workbookViewId="0">
      <selection activeCell="E11" sqref="E11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5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8" t="s">
        <v>7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8" t="s">
        <v>9</v>
      </c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194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>
      <c r="B15" s="52" t="s">
        <v>13</v>
      </c>
      <c r="C15" s="53" t="s">
        <v>14</v>
      </c>
      <c r="D15" s="54"/>
      <c r="E15" s="229" t="s">
        <v>15</v>
      </c>
      <c r="F15" s="230"/>
      <c r="G15" s="231"/>
      <c r="H15" s="80" t="s">
        <v>16</v>
      </c>
      <c r="I15" s="80" t="s">
        <v>17</v>
      </c>
      <c r="J15" s="80" t="s">
        <v>18</v>
      </c>
      <c r="K15" s="80" t="s">
        <v>19</v>
      </c>
      <c r="L15" s="80" t="s">
        <v>20</v>
      </c>
      <c r="M15" s="113" t="s">
        <v>19</v>
      </c>
      <c r="N15" s="54" t="s">
        <v>21</v>
      </c>
    </row>
    <row r="16" spans="1:15" ht="46.15" customHeight="1">
      <c r="A16" s="55"/>
      <c r="B16" s="56">
        <v>1</v>
      </c>
      <c r="C16" s="232" t="s">
        <v>22</v>
      </c>
      <c r="D16" s="233"/>
      <c r="E16" s="234" t="s">
        <v>23</v>
      </c>
      <c r="F16" s="235"/>
      <c r="G16" s="236"/>
      <c r="H16" s="81">
        <v>0.5</v>
      </c>
      <c r="I16" s="81" t="s">
        <v>24</v>
      </c>
      <c r="J16" s="101">
        <v>5</v>
      </c>
      <c r="K16" s="102" t="s">
        <v>25</v>
      </c>
      <c r="L16" s="101">
        <v>4</v>
      </c>
      <c r="M16" s="114" t="str">
        <f t="shared" ref="M16:M19" si="0">K16</f>
        <v>%</v>
      </c>
      <c r="N16" s="115">
        <f t="shared" ref="N16:N19" si="1">IF(I16="Maximize",L16/J16*100*H16,IF(I16="Minimize",J16/L16*100*H16))</f>
        <v>62.5</v>
      </c>
      <c r="O16" s="55"/>
    </row>
    <row r="17" spans="1:15" ht="31.9" customHeight="1">
      <c r="A17" s="55"/>
      <c r="B17" s="57">
        <v>2</v>
      </c>
      <c r="C17" s="237" t="s">
        <v>154</v>
      </c>
      <c r="D17" s="238"/>
      <c r="E17" s="239" t="s">
        <v>155</v>
      </c>
      <c r="F17" s="239"/>
      <c r="G17" s="220"/>
      <c r="H17" s="82">
        <v>0.2</v>
      </c>
      <c r="I17" s="82" t="s">
        <v>26</v>
      </c>
      <c r="J17" s="103">
        <v>1</v>
      </c>
      <c r="K17" s="94" t="s">
        <v>25</v>
      </c>
      <c r="L17" s="103">
        <v>1</v>
      </c>
      <c r="M17" s="94" t="str">
        <f t="shared" si="0"/>
        <v>%</v>
      </c>
      <c r="N17" s="116">
        <f t="shared" si="1"/>
        <v>20</v>
      </c>
      <c r="O17" s="55"/>
    </row>
    <row r="18" spans="1:15" ht="31.9" customHeight="1">
      <c r="A18" s="55"/>
      <c r="B18" s="58">
        <v>3</v>
      </c>
      <c r="C18" s="219" t="s">
        <v>156</v>
      </c>
      <c r="D18" s="220"/>
      <c r="E18" s="221" t="s">
        <v>157</v>
      </c>
      <c r="F18" s="222"/>
      <c r="G18" s="223"/>
      <c r="H18" s="82">
        <v>0.2</v>
      </c>
      <c r="I18" s="82" t="s">
        <v>26</v>
      </c>
      <c r="J18" s="103">
        <v>1</v>
      </c>
      <c r="K18" s="94" t="s">
        <v>25</v>
      </c>
      <c r="L18" s="103">
        <v>1</v>
      </c>
      <c r="M18" s="94" t="str">
        <f t="shared" si="0"/>
        <v>%</v>
      </c>
      <c r="N18" s="116">
        <f t="shared" si="1"/>
        <v>20</v>
      </c>
      <c r="O18" s="55"/>
    </row>
    <row r="19" spans="1:15" s="17" customFormat="1" ht="31.9" customHeight="1">
      <c r="B19" s="59">
        <v>4</v>
      </c>
      <c r="C19" s="224"/>
      <c r="D19" s="225"/>
      <c r="E19" s="83"/>
      <c r="F19" s="83"/>
      <c r="G19" s="83"/>
      <c r="H19" s="84">
        <v>0.1</v>
      </c>
      <c r="I19" s="104" t="s">
        <v>26</v>
      </c>
      <c r="J19" s="105">
        <v>1</v>
      </c>
      <c r="K19" s="104"/>
      <c r="L19" s="106">
        <v>1</v>
      </c>
      <c r="M19" s="94">
        <f t="shared" si="0"/>
        <v>0</v>
      </c>
      <c r="N19" s="116">
        <f t="shared" si="1"/>
        <v>10</v>
      </c>
    </row>
    <row r="20" spans="1:15" ht="14.25" customHeight="1">
      <c r="A20" s="55"/>
      <c r="B20" s="60"/>
      <c r="C20" s="226" t="s">
        <v>28</v>
      </c>
      <c r="D20" s="227"/>
      <c r="E20" s="227"/>
      <c r="F20" s="227"/>
      <c r="G20" s="228"/>
      <c r="H20" s="85">
        <f>SUM(H16:H19)</f>
        <v>1</v>
      </c>
      <c r="I20" s="107"/>
      <c r="J20" s="55"/>
      <c r="K20" s="55"/>
      <c r="L20" s="55"/>
      <c r="M20" s="117" t="s">
        <v>29</v>
      </c>
      <c r="N20" s="118">
        <f>SUM(N16:N19)</f>
        <v>112.5</v>
      </c>
      <c r="O20" s="55"/>
    </row>
    <row r="21" spans="1:15" ht="6" customHeight="1">
      <c r="B21" s="48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112"/>
    </row>
    <row r="22" spans="1:15" ht="14.25" customHeight="1">
      <c r="B22" s="48"/>
      <c r="C22" s="61" t="s">
        <v>30</v>
      </c>
      <c r="D22" s="49" t="s">
        <v>31</v>
      </c>
      <c r="E22" s="49"/>
      <c r="F22" s="49"/>
      <c r="G22" s="47"/>
      <c r="H22" s="47"/>
      <c r="I22" s="47"/>
      <c r="J22" s="47"/>
      <c r="K22" s="47"/>
      <c r="L22" s="47"/>
      <c r="M22" s="47"/>
      <c r="N22" s="112"/>
    </row>
    <row r="23" spans="1:15" ht="14.25" customHeight="1">
      <c r="B23" s="48"/>
      <c r="C23" s="47"/>
      <c r="D23" s="47"/>
      <c r="E23" s="86">
        <f>N20</f>
        <v>112.5</v>
      </c>
      <c r="F23" s="87" t="s">
        <v>32</v>
      </c>
      <c r="G23" s="88">
        <v>0.8</v>
      </c>
      <c r="H23" s="125" t="s">
        <v>33</v>
      </c>
      <c r="I23" s="108">
        <f>G23*E23</f>
        <v>90</v>
      </c>
      <c r="L23" s="47"/>
      <c r="M23" s="47"/>
      <c r="N23" s="112"/>
    </row>
    <row r="24" spans="1:15" ht="4.5" customHeight="1">
      <c r="B24" s="48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112"/>
    </row>
    <row r="25" spans="1:15" ht="20.45" customHeight="1">
      <c r="B25" s="62" t="s">
        <v>34</v>
      </c>
      <c r="C25" s="63"/>
      <c r="D25" s="64"/>
      <c r="E25" s="21"/>
      <c r="F25" s="64"/>
      <c r="G25" s="89"/>
      <c r="H25" s="64"/>
      <c r="I25" s="64"/>
      <c r="J25" s="64"/>
      <c r="K25" s="64"/>
      <c r="L25" s="64"/>
      <c r="M25" s="64"/>
      <c r="N25" s="119"/>
    </row>
    <row r="26" spans="1:15" ht="6" customHeight="1">
      <c r="B26" s="65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120"/>
    </row>
    <row r="27" spans="1:15" ht="14.25" customHeight="1">
      <c r="B27" s="65"/>
      <c r="E27" s="90" t="s">
        <v>13</v>
      </c>
      <c r="F27" s="215" t="s">
        <v>35</v>
      </c>
      <c r="G27" s="197"/>
      <c r="H27" s="91" t="s">
        <v>16</v>
      </c>
      <c r="I27" s="109" t="s">
        <v>36</v>
      </c>
      <c r="J27" s="215" t="s">
        <v>37</v>
      </c>
      <c r="K27" s="197"/>
      <c r="N27" s="120"/>
    </row>
    <row r="28" spans="1:15" ht="14.25" customHeight="1">
      <c r="A28" s="55"/>
      <c r="B28" s="65"/>
      <c r="E28" s="92">
        <v>1</v>
      </c>
      <c r="F28" s="216" t="s">
        <v>38</v>
      </c>
      <c r="G28" s="217"/>
      <c r="H28" s="93">
        <v>0.25</v>
      </c>
      <c r="I28" s="92">
        <v>80</v>
      </c>
      <c r="J28" s="218">
        <f t="shared" ref="J28:J31" si="2">H28*I28</f>
        <v>20</v>
      </c>
      <c r="K28" s="217"/>
      <c r="N28" s="120"/>
    </row>
    <row r="29" spans="1:15" ht="14.25" customHeight="1">
      <c r="A29" s="55"/>
      <c r="B29" s="65"/>
      <c r="E29" s="94">
        <v>2</v>
      </c>
      <c r="F29" s="214" t="s">
        <v>39</v>
      </c>
      <c r="G29" s="212"/>
      <c r="H29" s="82">
        <v>0.25</v>
      </c>
      <c r="I29" s="94">
        <v>90</v>
      </c>
      <c r="J29" s="213">
        <f t="shared" si="2"/>
        <v>22.5</v>
      </c>
      <c r="K29" s="212"/>
      <c r="N29" s="120"/>
    </row>
    <row r="30" spans="1:15" ht="14.25" customHeight="1">
      <c r="B30" s="65"/>
      <c r="E30" s="94">
        <v>3</v>
      </c>
      <c r="F30" s="211" t="s">
        <v>40</v>
      </c>
      <c r="G30" s="212"/>
      <c r="H30" s="82">
        <v>0.25</v>
      </c>
      <c r="I30" s="94">
        <v>90</v>
      </c>
      <c r="J30" s="213">
        <f t="shared" si="2"/>
        <v>22.5</v>
      </c>
      <c r="K30" s="212"/>
      <c r="N30" s="120"/>
    </row>
    <row r="31" spans="1:15" ht="14.25" customHeight="1">
      <c r="A31" s="55"/>
      <c r="B31" s="65"/>
      <c r="E31" s="94">
        <v>4</v>
      </c>
      <c r="F31" s="214" t="s">
        <v>41</v>
      </c>
      <c r="G31" s="212"/>
      <c r="H31" s="82">
        <v>0.25</v>
      </c>
      <c r="I31" s="94">
        <v>85</v>
      </c>
      <c r="J31" s="213">
        <f t="shared" si="2"/>
        <v>21.25</v>
      </c>
      <c r="K31" s="212"/>
      <c r="N31" s="120"/>
    </row>
    <row r="32" spans="1:15" ht="14.25" customHeight="1">
      <c r="A32" s="55"/>
      <c r="B32" s="65"/>
      <c r="E32" s="94"/>
      <c r="F32" s="95"/>
      <c r="G32" s="96"/>
      <c r="H32" s="82"/>
      <c r="I32" s="94"/>
      <c r="J32" s="213"/>
      <c r="K32" s="212"/>
      <c r="N32" s="120"/>
    </row>
    <row r="33" spans="1:14" ht="14.25" customHeight="1">
      <c r="B33" s="65"/>
      <c r="E33" s="94"/>
      <c r="F33" s="191"/>
      <c r="G33" s="192"/>
      <c r="H33" s="82"/>
      <c r="I33" s="94"/>
      <c r="J33" s="193"/>
      <c r="K33" s="194"/>
      <c r="N33" s="120"/>
    </row>
    <row r="34" spans="1:14" ht="14.25" customHeight="1">
      <c r="A34" s="55"/>
      <c r="B34" s="65"/>
      <c r="E34" s="195" t="s">
        <v>42</v>
      </c>
      <c r="F34" s="196"/>
      <c r="G34" s="197"/>
      <c r="H34" s="97">
        <f>SUM(H28:H33)</f>
        <v>1</v>
      </c>
      <c r="I34" s="90" t="s">
        <v>29</v>
      </c>
      <c r="J34" s="198">
        <f>SUM(J28:J33)</f>
        <v>86.25</v>
      </c>
      <c r="K34" s="197"/>
      <c r="N34" s="120"/>
    </row>
    <row r="35" spans="1:14" ht="8.25" customHeight="1">
      <c r="B35" s="65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120"/>
    </row>
    <row r="36" spans="1:14" ht="14.25" customHeight="1">
      <c r="B36" s="65"/>
      <c r="C36" s="61" t="s">
        <v>43</v>
      </c>
      <c r="D36" s="49" t="s">
        <v>31</v>
      </c>
      <c r="E36" s="49"/>
      <c r="F36" s="49"/>
      <c r="G36" s="47"/>
      <c r="H36" s="47"/>
      <c r="I36" s="47"/>
      <c r="J36" s="47"/>
      <c r="K36" s="47"/>
      <c r="L36" s="47"/>
      <c r="M36" s="47"/>
      <c r="N36" s="120"/>
    </row>
    <row r="37" spans="1:14" ht="14.25" customHeight="1">
      <c r="B37" s="65"/>
      <c r="C37" s="47"/>
      <c r="D37" s="47"/>
      <c r="E37" s="98">
        <f>J34</f>
        <v>86.25</v>
      </c>
      <c r="F37" s="87" t="s">
        <v>32</v>
      </c>
      <c r="G37" s="88">
        <v>0.2</v>
      </c>
      <c r="H37" s="125" t="s">
        <v>33</v>
      </c>
      <c r="I37" s="110">
        <f>G37*E37</f>
        <v>17.25</v>
      </c>
      <c r="L37" s="47"/>
      <c r="M37" s="47"/>
      <c r="N37" s="120"/>
    </row>
    <row r="38" spans="1:14" ht="9.75" customHeight="1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121"/>
    </row>
    <row r="39" spans="1:14" ht="5.25" customHeight="1">
      <c r="B39" s="48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112"/>
    </row>
    <row r="40" spans="1:14" ht="14.25" customHeight="1">
      <c r="B40" s="48"/>
      <c r="C40" s="51" t="s">
        <v>44</v>
      </c>
      <c r="D40" s="68"/>
      <c r="E40" s="68"/>
      <c r="F40" s="68"/>
      <c r="G40" s="68"/>
      <c r="H40" s="68"/>
      <c r="I40" s="68"/>
      <c r="J40" s="68"/>
      <c r="K40" s="68"/>
      <c r="L40" s="68"/>
      <c r="M40" s="47"/>
      <c r="N40" s="112"/>
    </row>
    <row r="41" spans="1:14" s="17" customFormat="1" ht="24.6" customHeight="1">
      <c r="B41" s="69"/>
      <c r="C41" s="70" t="s">
        <v>45</v>
      </c>
      <c r="D41" s="71"/>
      <c r="E41" s="71"/>
      <c r="F41" s="71"/>
      <c r="G41" s="71"/>
      <c r="H41" s="99">
        <f>I23</f>
        <v>90</v>
      </c>
      <c r="I41" s="126" t="s">
        <v>46</v>
      </c>
      <c r="J41" s="99">
        <f>I37</f>
        <v>17.25</v>
      </c>
      <c r="K41" s="126" t="s">
        <v>33</v>
      </c>
      <c r="L41" s="99">
        <f>H41+J41</f>
        <v>107.25</v>
      </c>
      <c r="M41" s="55"/>
      <c r="N41" s="122"/>
    </row>
    <row r="42" spans="1:14" ht="14.25" customHeight="1">
      <c r="B42" s="48"/>
      <c r="C42" s="51"/>
      <c r="D42" s="68"/>
      <c r="E42" s="68"/>
      <c r="F42" s="68"/>
      <c r="G42" s="68"/>
      <c r="H42" s="100"/>
      <c r="I42" s="111"/>
      <c r="J42" s="100"/>
      <c r="K42" s="111"/>
      <c r="L42" s="100"/>
      <c r="M42" s="47"/>
      <c r="N42" s="112"/>
    </row>
    <row r="43" spans="1:14" ht="14.25" customHeight="1">
      <c r="B43" s="48"/>
      <c r="C43" s="47" t="s">
        <v>47</v>
      </c>
      <c r="D43" s="47"/>
      <c r="F43" s="47"/>
      <c r="G43" s="73" t="s">
        <v>48</v>
      </c>
      <c r="H43" s="47"/>
      <c r="I43" s="47"/>
      <c r="J43" s="47"/>
      <c r="K43" s="47"/>
      <c r="L43" s="47"/>
      <c r="M43" s="47"/>
      <c r="N43" s="112"/>
    </row>
    <row r="44" spans="1:14" ht="14.25" customHeight="1">
      <c r="B44" s="48"/>
      <c r="C44" s="47"/>
      <c r="D44" s="47"/>
      <c r="F44" s="47"/>
      <c r="G44" s="47"/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47"/>
      <c r="D47" s="47"/>
      <c r="F47" s="47"/>
      <c r="G47" s="47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72"/>
      <c r="D48" s="72"/>
      <c r="F48" s="47"/>
      <c r="G48" s="72"/>
      <c r="H48" s="47"/>
      <c r="I48" s="47"/>
      <c r="J48" s="47"/>
      <c r="K48" s="47"/>
      <c r="L48" s="47"/>
      <c r="M48" s="47"/>
      <c r="N48" s="112"/>
    </row>
    <row r="49" spans="2:14" ht="14.25" customHeight="1">
      <c r="B49" s="48"/>
      <c r="C49" s="73" t="s">
        <v>49</v>
      </c>
      <c r="D49" s="47"/>
      <c r="F49" s="47"/>
      <c r="G49" s="47" t="s">
        <v>50</v>
      </c>
      <c r="H49" s="47"/>
      <c r="I49" s="47"/>
      <c r="J49" s="47"/>
      <c r="K49" s="47"/>
      <c r="L49" s="47"/>
      <c r="M49" s="47"/>
      <c r="N49" s="112"/>
    </row>
    <row r="50" spans="2:14" ht="12.75" customHeight="1">
      <c r="B50" s="74"/>
      <c r="C50" s="75" t="s">
        <v>51</v>
      </c>
      <c r="D50" s="76"/>
      <c r="E50" s="76"/>
      <c r="F50" s="76"/>
      <c r="G50" s="76" t="s">
        <v>52</v>
      </c>
      <c r="H50" s="76"/>
      <c r="I50" s="76"/>
      <c r="J50" s="76"/>
      <c r="K50" s="76"/>
      <c r="L50" s="76"/>
      <c r="M50" s="76"/>
      <c r="N50" s="123"/>
    </row>
    <row r="51" spans="2:14" ht="14.25" hidden="1" customHeight="1">
      <c r="B51" s="74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123"/>
    </row>
    <row r="52" spans="2:14" ht="14.25" customHeight="1"/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</sheetData>
  <mergeCells count="26">
    <mergeCell ref="E15:G15"/>
    <mergeCell ref="C16:D16"/>
    <mergeCell ref="E16:G16"/>
    <mergeCell ref="C17:D17"/>
    <mergeCell ref="E17:G17"/>
    <mergeCell ref="C18:D18"/>
    <mergeCell ref="E18:G18"/>
    <mergeCell ref="C19:D19"/>
    <mergeCell ref="C20:G20"/>
    <mergeCell ref="F27:G27"/>
    <mergeCell ref="F33:G33"/>
    <mergeCell ref="J33:K33"/>
    <mergeCell ref="E34:G34"/>
    <mergeCell ref="J34:K34"/>
    <mergeCell ref="N2:N5"/>
    <mergeCell ref="B2:M5"/>
    <mergeCell ref="F30:G30"/>
    <mergeCell ref="J30:K30"/>
    <mergeCell ref="F31:G31"/>
    <mergeCell ref="J31:K31"/>
    <mergeCell ref="J32:K32"/>
    <mergeCell ref="J27:K27"/>
    <mergeCell ref="F28:G28"/>
    <mergeCell ref="J28:K28"/>
    <mergeCell ref="F29:G29"/>
    <mergeCell ref="J29:K29"/>
  </mergeCells>
  <pageMargins left="0.25" right="0.25" top="4.1666666666666699E-2" bottom="0.133333333333333" header="0" footer="0"/>
  <pageSetup paperSize="9" scale="8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Sheet2!$B$2:$B$3</xm:f>
          </x14:formula1>
          <xm:sqref>I16:I19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O87"/>
  <sheetViews>
    <sheetView showGridLines="0" topLeftCell="A13" zoomScaleNormal="100" workbookViewId="0">
      <selection activeCell="M18" sqref="M18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53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8" t="s">
        <v>54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9" t="s">
        <v>164</v>
      </c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194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 thickBo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 thickBot="1">
      <c r="B15" s="150" t="s">
        <v>13</v>
      </c>
      <c r="C15" s="151" t="s">
        <v>14</v>
      </c>
      <c r="D15" s="152"/>
      <c r="E15" s="245" t="s">
        <v>15</v>
      </c>
      <c r="F15" s="246"/>
      <c r="G15" s="247"/>
      <c r="H15" s="153" t="s">
        <v>16</v>
      </c>
      <c r="I15" s="153" t="s">
        <v>17</v>
      </c>
      <c r="J15" s="153" t="s">
        <v>18</v>
      </c>
      <c r="K15" s="153" t="s">
        <v>19</v>
      </c>
      <c r="L15" s="153" t="s">
        <v>20</v>
      </c>
      <c r="M15" s="154" t="s">
        <v>19</v>
      </c>
      <c r="N15" s="155" t="s">
        <v>21</v>
      </c>
    </row>
    <row r="16" spans="1:15" ht="31.9" customHeight="1">
      <c r="A16" s="55"/>
      <c r="B16" s="56">
        <v>1</v>
      </c>
      <c r="C16" s="248" t="s">
        <v>55</v>
      </c>
      <c r="D16" s="233"/>
      <c r="E16" s="234" t="s">
        <v>56</v>
      </c>
      <c r="F16" s="235"/>
      <c r="G16" s="236"/>
      <c r="H16" s="81">
        <v>0.5</v>
      </c>
      <c r="I16" s="81" t="s">
        <v>26</v>
      </c>
      <c r="J16" s="101">
        <v>200000000</v>
      </c>
      <c r="K16" s="102" t="s">
        <v>57</v>
      </c>
      <c r="L16" s="101">
        <v>133716920</v>
      </c>
      <c r="M16" s="114" t="str">
        <f t="shared" ref="M16:M18" si="0">K16</f>
        <v>Rupiah</v>
      </c>
      <c r="N16" s="115">
        <f t="shared" ref="N16:N18" si="1">IF(I16="Maximize",L16/J16*100*H16,IF(I16="Minimize",J16/L16*100*H16))</f>
        <v>33.429229999999997</v>
      </c>
      <c r="O16" s="55"/>
    </row>
    <row r="17" spans="1:15" ht="31.9" customHeight="1">
      <c r="A17" s="55"/>
      <c r="B17" s="57">
        <v>2</v>
      </c>
      <c r="C17" s="249" t="s">
        <v>58</v>
      </c>
      <c r="D17" s="238"/>
      <c r="E17" s="239" t="s">
        <v>59</v>
      </c>
      <c r="F17" s="239"/>
      <c r="G17" s="220"/>
      <c r="H17" s="82">
        <v>0.3</v>
      </c>
      <c r="I17" s="82" t="s">
        <v>26</v>
      </c>
      <c r="J17" s="103">
        <v>10</v>
      </c>
      <c r="K17" s="94" t="s">
        <v>27</v>
      </c>
      <c r="L17" s="103">
        <v>3</v>
      </c>
      <c r="M17" s="94" t="str">
        <f t="shared" si="0"/>
        <v>Customer</v>
      </c>
      <c r="N17" s="116">
        <f t="shared" si="1"/>
        <v>9</v>
      </c>
      <c r="O17" s="55"/>
    </row>
    <row r="18" spans="1:15" ht="31.9" customHeight="1" thickBot="1">
      <c r="A18" s="55"/>
      <c r="B18" s="156">
        <v>3</v>
      </c>
      <c r="C18" s="240" t="s">
        <v>60</v>
      </c>
      <c r="D18" s="241"/>
      <c r="E18" s="242" t="s">
        <v>179</v>
      </c>
      <c r="F18" s="243"/>
      <c r="G18" s="244"/>
      <c r="H18" s="157">
        <v>0.2</v>
      </c>
      <c r="I18" s="157" t="s">
        <v>26</v>
      </c>
      <c r="J18" s="158">
        <v>14</v>
      </c>
      <c r="K18" s="104" t="s">
        <v>27</v>
      </c>
      <c r="L18" s="158">
        <v>26</v>
      </c>
      <c r="M18" s="104" t="str">
        <f t="shared" si="0"/>
        <v>Customer</v>
      </c>
      <c r="N18" s="159">
        <f t="shared" si="1"/>
        <v>37.142857142857146</v>
      </c>
      <c r="O18" s="55"/>
    </row>
    <row r="19" spans="1:15" ht="14.25" customHeight="1" thickBot="1">
      <c r="A19" s="55"/>
      <c r="B19" s="60"/>
      <c r="C19" s="226" t="s">
        <v>28</v>
      </c>
      <c r="D19" s="227"/>
      <c r="E19" s="227"/>
      <c r="F19" s="227"/>
      <c r="G19" s="228"/>
      <c r="H19" s="85">
        <f>SUM(H16:H18)</f>
        <v>1</v>
      </c>
      <c r="I19" s="107"/>
      <c r="J19" s="55"/>
      <c r="K19" s="55"/>
      <c r="L19" s="55"/>
      <c r="M19" s="117" t="s">
        <v>29</v>
      </c>
      <c r="N19" s="118">
        <f>SUM(N16:N18)</f>
        <v>79.572087142857143</v>
      </c>
      <c r="O19" s="55"/>
    </row>
    <row r="20" spans="1:15" ht="6" customHeight="1">
      <c r="B20" s="48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112"/>
    </row>
    <row r="21" spans="1:15" ht="14.25" customHeight="1">
      <c r="B21" s="48"/>
      <c r="C21" s="61" t="s">
        <v>30</v>
      </c>
      <c r="D21" s="49" t="s">
        <v>31</v>
      </c>
      <c r="E21" s="49"/>
      <c r="F21" s="49"/>
      <c r="G21" s="47"/>
      <c r="H21" s="47"/>
      <c r="I21" s="47"/>
      <c r="J21" s="47"/>
      <c r="K21" s="47"/>
      <c r="L21" s="47"/>
      <c r="M21" s="47"/>
      <c r="N21" s="112"/>
    </row>
    <row r="22" spans="1:15" ht="14.25" customHeight="1">
      <c r="B22" s="48"/>
      <c r="C22" s="47"/>
      <c r="D22" s="47"/>
      <c r="E22" s="86">
        <f>N19</f>
        <v>79.572087142857143</v>
      </c>
      <c r="F22" s="87" t="s">
        <v>32</v>
      </c>
      <c r="G22" s="88">
        <v>0.8</v>
      </c>
      <c r="H22" s="125" t="s">
        <v>33</v>
      </c>
      <c r="I22" s="108">
        <f>G22*E22</f>
        <v>63.657669714285717</v>
      </c>
      <c r="L22" s="47"/>
      <c r="M22" s="47"/>
      <c r="N22" s="112"/>
    </row>
    <row r="23" spans="1:15" ht="4.5" customHeight="1">
      <c r="B23" s="48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112"/>
    </row>
    <row r="24" spans="1:15" ht="20.45" customHeight="1">
      <c r="B24" s="62" t="s">
        <v>34</v>
      </c>
      <c r="C24" s="63"/>
      <c r="D24" s="64"/>
      <c r="E24" s="21"/>
      <c r="F24" s="64"/>
      <c r="G24" s="89"/>
      <c r="H24" s="64"/>
      <c r="I24" s="64"/>
      <c r="J24" s="64"/>
      <c r="K24" s="64"/>
      <c r="L24" s="64"/>
      <c r="M24" s="64"/>
      <c r="N24" s="119"/>
    </row>
    <row r="25" spans="1:15" ht="6" customHeight="1">
      <c r="B25" s="65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120"/>
    </row>
    <row r="26" spans="1:15" ht="14.25" customHeight="1">
      <c r="B26" s="65"/>
      <c r="E26" s="90" t="s">
        <v>13</v>
      </c>
      <c r="F26" s="215" t="s">
        <v>35</v>
      </c>
      <c r="G26" s="197"/>
      <c r="H26" s="91" t="s">
        <v>16</v>
      </c>
      <c r="I26" s="109" t="s">
        <v>36</v>
      </c>
      <c r="J26" s="215" t="s">
        <v>37</v>
      </c>
      <c r="K26" s="197"/>
      <c r="N26" s="120"/>
    </row>
    <row r="27" spans="1:15" ht="14.25" customHeight="1">
      <c r="A27" s="55"/>
      <c r="B27" s="65"/>
      <c r="E27" s="92">
        <v>1</v>
      </c>
      <c r="F27" s="216" t="s">
        <v>38</v>
      </c>
      <c r="G27" s="217"/>
      <c r="H27" s="93">
        <v>0.25</v>
      </c>
      <c r="I27" s="92">
        <v>80</v>
      </c>
      <c r="J27" s="218">
        <f t="shared" ref="J27:J30" si="2">H27*I27</f>
        <v>20</v>
      </c>
      <c r="K27" s="217"/>
      <c r="N27" s="120"/>
    </row>
    <row r="28" spans="1:15" ht="14.25" customHeight="1">
      <c r="A28" s="55"/>
      <c r="B28" s="65"/>
      <c r="E28" s="94">
        <v>2</v>
      </c>
      <c r="F28" s="214" t="s">
        <v>39</v>
      </c>
      <c r="G28" s="212"/>
      <c r="H28" s="82">
        <v>0.25</v>
      </c>
      <c r="I28" s="94">
        <v>80</v>
      </c>
      <c r="J28" s="213">
        <f t="shared" si="2"/>
        <v>20</v>
      </c>
      <c r="K28" s="212"/>
      <c r="N28" s="120"/>
    </row>
    <row r="29" spans="1:15" ht="14.25" customHeight="1">
      <c r="B29" s="65"/>
      <c r="E29" s="94">
        <v>3</v>
      </c>
      <c r="F29" s="211" t="s">
        <v>40</v>
      </c>
      <c r="G29" s="212"/>
      <c r="H29" s="82">
        <v>0.25</v>
      </c>
      <c r="I29" s="94">
        <v>80</v>
      </c>
      <c r="J29" s="213">
        <f t="shared" si="2"/>
        <v>20</v>
      </c>
      <c r="K29" s="212"/>
      <c r="N29" s="120"/>
    </row>
    <row r="30" spans="1:15" ht="14.25" customHeight="1">
      <c r="A30" s="55"/>
      <c r="B30" s="65"/>
      <c r="E30" s="94">
        <v>4</v>
      </c>
      <c r="F30" s="214" t="s">
        <v>41</v>
      </c>
      <c r="G30" s="212"/>
      <c r="H30" s="82">
        <v>0.25</v>
      </c>
      <c r="I30" s="94">
        <v>80</v>
      </c>
      <c r="J30" s="213">
        <f t="shared" si="2"/>
        <v>20</v>
      </c>
      <c r="K30" s="212"/>
      <c r="N30" s="120"/>
    </row>
    <row r="31" spans="1:15" ht="14.25" customHeight="1">
      <c r="A31" s="55"/>
      <c r="B31" s="65"/>
      <c r="E31" s="94"/>
      <c r="F31" s="95"/>
      <c r="G31" s="96"/>
      <c r="H31" s="82"/>
      <c r="I31" s="94"/>
      <c r="J31" s="213"/>
      <c r="K31" s="212"/>
      <c r="N31" s="120"/>
    </row>
    <row r="32" spans="1:15" ht="14.25" customHeight="1">
      <c r="B32" s="65"/>
      <c r="E32" s="94"/>
      <c r="F32" s="191"/>
      <c r="G32" s="192"/>
      <c r="H32" s="82"/>
      <c r="I32" s="94"/>
      <c r="J32" s="193"/>
      <c r="K32" s="194"/>
      <c r="N32" s="120"/>
    </row>
    <row r="33" spans="1:14" ht="14.25" customHeight="1">
      <c r="A33" s="55"/>
      <c r="B33" s="65"/>
      <c r="E33" s="195" t="s">
        <v>42</v>
      </c>
      <c r="F33" s="196"/>
      <c r="G33" s="197"/>
      <c r="H33" s="97">
        <f>SUM(H27:H32)</f>
        <v>1</v>
      </c>
      <c r="I33" s="90" t="s">
        <v>29</v>
      </c>
      <c r="J33" s="198">
        <f>SUM(J27:J32)</f>
        <v>80</v>
      </c>
      <c r="K33" s="197"/>
      <c r="N33" s="120"/>
    </row>
    <row r="34" spans="1:14" ht="8.25" customHeight="1">
      <c r="B34" s="65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120"/>
    </row>
    <row r="35" spans="1:14" ht="14.25" customHeight="1">
      <c r="B35" s="65"/>
      <c r="C35" s="61" t="s">
        <v>43</v>
      </c>
      <c r="D35" s="49" t="s">
        <v>31</v>
      </c>
      <c r="E35" s="49"/>
      <c r="F35" s="49"/>
      <c r="G35" s="47"/>
      <c r="H35" s="47"/>
      <c r="I35" s="47"/>
      <c r="J35" s="47"/>
      <c r="K35" s="47"/>
      <c r="L35" s="47"/>
      <c r="M35" s="47"/>
      <c r="N35" s="120"/>
    </row>
    <row r="36" spans="1:14" ht="14.25" customHeight="1">
      <c r="B36" s="65"/>
      <c r="C36" s="47"/>
      <c r="D36" s="47"/>
      <c r="E36" s="98">
        <f>J33</f>
        <v>80</v>
      </c>
      <c r="F36" s="87" t="s">
        <v>32</v>
      </c>
      <c r="G36" s="88">
        <v>0.2</v>
      </c>
      <c r="H36" s="125" t="s">
        <v>33</v>
      </c>
      <c r="I36" s="110">
        <f>G36*E36</f>
        <v>16</v>
      </c>
      <c r="L36" s="47"/>
      <c r="M36" s="47"/>
      <c r="N36" s="120"/>
    </row>
    <row r="37" spans="1:14" ht="9.75" customHeight="1"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121"/>
    </row>
    <row r="38" spans="1:14" ht="5.25" customHeight="1">
      <c r="B38" s="48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112"/>
    </row>
    <row r="39" spans="1:14" ht="14.25" customHeight="1">
      <c r="B39" s="48"/>
      <c r="C39" s="51" t="s">
        <v>44</v>
      </c>
      <c r="D39" s="68"/>
      <c r="E39" s="68"/>
      <c r="F39" s="68"/>
      <c r="G39" s="68"/>
      <c r="H39" s="68"/>
      <c r="I39" s="68"/>
      <c r="J39" s="68"/>
      <c r="K39" s="68"/>
      <c r="L39" s="68"/>
      <c r="M39" s="47"/>
      <c r="N39" s="112"/>
    </row>
    <row r="40" spans="1:14" s="17" customFormat="1" ht="24.6" customHeight="1">
      <c r="B40" s="69"/>
      <c r="C40" s="70" t="s">
        <v>45</v>
      </c>
      <c r="D40" s="71"/>
      <c r="E40" s="71"/>
      <c r="F40" s="71"/>
      <c r="G40" s="71"/>
      <c r="H40" s="99">
        <f>I22</f>
        <v>63.657669714285717</v>
      </c>
      <c r="I40" s="126" t="s">
        <v>46</v>
      </c>
      <c r="J40" s="99">
        <f>I36</f>
        <v>16</v>
      </c>
      <c r="K40" s="126" t="s">
        <v>33</v>
      </c>
      <c r="L40" s="99">
        <f>H40+J40</f>
        <v>79.657669714285717</v>
      </c>
      <c r="M40" s="55"/>
      <c r="N40" s="122"/>
    </row>
    <row r="41" spans="1:14" ht="14.25" customHeight="1">
      <c r="B41" s="48"/>
      <c r="C41" s="51"/>
      <c r="D41" s="68"/>
      <c r="E41" s="68"/>
      <c r="F41" s="68"/>
      <c r="G41" s="68"/>
      <c r="H41" s="100"/>
      <c r="I41" s="111"/>
      <c r="J41" s="100"/>
      <c r="K41" s="111"/>
      <c r="L41" s="100"/>
      <c r="M41" s="47"/>
      <c r="N41" s="112"/>
    </row>
    <row r="42" spans="1:14" ht="14.25" customHeight="1">
      <c r="B42" s="48"/>
      <c r="C42" s="47" t="s">
        <v>47</v>
      </c>
      <c r="D42" s="47"/>
      <c r="F42" s="47"/>
      <c r="G42" s="73" t="s">
        <v>48</v>
      </c>
      <c r="H42" s="47"/>
      <c r="I42" s="47"/>
      <c r="J42" s="47"/>
      <c r="K42" s="47"/>
      <c r="L42" s="47"/>
      <c r="M42" s="47"/>
      <c r="N42" s="112"/>
    </row>
    <row r="43" spans="1:14" ht="14.25" customHeight="1">
      <c r="B43" s="48"/>
      <c r="C43" s="47"/>
      <c r="D43" s="47"/>
      <c r="F43" s="47"/>
      <c r="G43" s="47"/>
      <c r="H43" s="47"/>
      <c r="I43" s="47"/>
      <c r="J43" s="47"/>
      <c r="K43" s="47"/>
      <c r="L43" s="47"/>
      <c r="M43" s="47"/>
      <c r="N43" s="112"/>
    </row>
    <row r="44" spans="1:14" ht="14.25" customHeight="1">
      <c r="B44" s="48"/>
      <c r="C44" s="47"/>
      <c r="D44" s="47"/>
      <c r="F44" s="47"/>
      <c r="G44" s="47"/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72"/>
      <c r="D47" s="72"/>
      <c r="F47" s="47"/>
      <c r="G47" s="72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73" t="s">
        <v>49</v>
      </c>
      <c r="D48" s="47"/>
      <c r="F48" s="47"/>
      <c r="G48" s="47" t="s">
        <v>50</v>
      </c>
      <c r="H48" s="47"/>
      <c r="I48" s="47"/>
      <c r="J48" s="47"/>
      <c r="K48" s="47"/>
      <c r="L48" s="47"/>
      <c r="M48" s="47"/>
      <c r="N48" s="112"/>
    </row>
    <row r="49" spans="2:14" ht="12.75" customHeight="1" thickBot="1">
      <c r="B49" s="74"/>
      <c r="C49" s="75" t="s">
        <v>51</v>
      </c>
      <c r="D49" s="76"/>
      <c r="E49" s="76"/>
      <c r="F49" s="76"/>
      <c r="G49" s="76" t="s">
        <v>52</v>
      </c>
      <c r="H49" s="76"/>
      <c r="I49" s="76"/>
      <c r="J49" s="76"/>
      <c r="K49" s="76"/>
      <c r="L49" s="76"/>
      <c r="M49" s="76"/>
      <c r="N49" s="123"/>
    </row>
    <row r="50" spans="2:14" ht="14.25" hidden="1" customHeight="1">
      <c r="B50" s="74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123"/>
    </row>
    <row r="51" spans="2:14" ht="14.25" customHeight="1"/>
    <row r="52" spans="2:14" ht="14.25" customHeight="1"/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</sheetData>
  <mergeCells count="25">
    <mergeCell ref="E18:G18"/>
    <mergeCell ref="C19:G19"/>
    <mergeCell ref="F26:G26"/>
    <mergeCell ref="F32:G32"/>
    <mergeCell ref="E15:G15"/>
    <mergeCell ref="C16:D16"/>
    <mergeCell ref="E16:G16"/>
    <mergeCell ref="C17:D17"/>
    <mergeCell ref="E17:G17"/>
    <mergeCell ref="J32:K32"/>
    <mergeCell ref="E33:G33"/>
    <mergeCell ref="J33:K33"/>
    <mergeCell ref="N2:N5"/>
    <mergeCell ref="B2:M5"/>
    <mergeCell ref="F29:G29"/>
    <mergeCell ref="J29:K29"/>
    <mergeCell ref="F30:G30"/>
    <mergeCell ref="J30:K30"/>
    <mergeCell ref="J31:K31"/>
    <mergeCell ref="J26:K26"/>
    <mergeCell ref="F27:G27"/>
    <mergeCell ref="J27:K27"/>
    <mergeCell ref="F28:G28"/>
    <mergeCell ref="J28:K28"/>
    <mergeCell ref="C18:D18"/>
  </mergeCells>
  <pageMargins left="0.25" right="0.25" top="4.1666666666666699E-2" bottom="0.133333333333333" header="0" footer="0"/>
  <pageSetup paperSize="9" scale="8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514B46B-C1D8-4496-AA55-E23D41F3F285}">
          <x14:formula1>
            <xm:f>Sheet2!$B$2:$B$3</xm:f>
          </x14:formula1>
          <xm:sqref>I16:I18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O87"/>
  <sheetViews>
    <sheetView showGridLines="0" topLeftCell="A13" zoomScaleNormal="100" workbookViewId="0">
      <selection activeCell="M18" sqref="M18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53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8" t="s">
        <v>82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9" t="s">
        <v>165</v>
      </c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194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 thickBo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 thickBot="1">
      <c r="B15" s="150" t="s">
        <v>13</v>
      </c>
      <c r="C15" s="151" t="s">
        <v>14</v>
      </c>
      <c r="D15" s="152"/>
      <c r="E15" s="245" t="s">
        <v>15</v>
      </c>
      <c r="F15" s="246"/>
      <c r="G15" s="247"/>
      <c r="H15" s="153" t="s">
        <v>16</v>
      </c>
      <c r="I15" s="153" t="s">
        <v>17</v>
      </c>
      <c r="J15" s="153" t="s">
        <v>18</v>
      </c>
      <c r="K15" s="153" t="s">
        <v>19</v>
      </c>
      <c r="L15" s="153" t="s">
        <v>20</v>
      </c>
      <c r="M15" s="154" t="s">
        <v>19</v>
      </c>
      <c r="N15" s="155" t="s">
        <v>21</v>
      </c>
    </row>
    <row r="16" spans="1:15" ht="31.9" customHeight="1">
      <c r="A16" s="55"/>
      <c r="B16" s="56">
        <v>1</v>
      </c>
      <c r="C16" s="248" t="s">
        <v>55</v>
      </c>
      <c r="D16" s="233"/>
      <c r="E16" s="234" t="s">
        <v>56</v>
      </c>
      <c r="F16" s="235"/>
      <c r="G16" s="236"/>
      <c r="H16" s="81">
        <v>0.5</v>
      </c>
      <c r="I16" s="81" t="s">
        <v>26</v>
      </c>
      <c r="J16" s="101">
        <v>200000000</v>
      </c>
      <c r="K16" s="102" t="s">
        <v>57</v>
      </c>
      <c r="L16" s="101">
        <v>0</v>
      </c>
      <c r="M16" s="114" t="str">
        <f t="shared" ref="M16:M18" si="0">K16</f>
        <v>Rupiah</v>
      </c>
      <c r="N16" s="115">
        <f t="shared" ref="N16:N18" si="1">IF(I16="Maximize",L16/J16*100*H16,IF(I16="Minimize",J16/L16*100*H16))</f>
        <v>0</v>
      </c>
      <c r="O16" s="55"/>
    </row>
    <row r="17" spans="1:15" ht="31.9" customHeight="1">
      <c r="A17" s="55"/>
      <c r="B17" s="57">
        <v>2</v>
      </c>
      <c r="C17" s="249" t="s">
        <v>58</v>
      </c>
      <c r="D17" s="238"/>
      <c r="E17" s="239" t="s">
        <v>59</v>
      </c>
      <c r="F17" s="239"/>
      <c r="G17" s="220"/>
      <c r="H17" s="82">
        <v>0.3</v>
      </c>
      <c r="I17" s="82" t="s">
        <v>26</v>
      </c>
      <c r="J17" s="103">
        <v>10</v>
      </c>
      <c r="K17" s="94" t="s">
        <v>27</v>
      </c>
      <c r="L17" s="103">
        <v>6</v>
      </c>
      <c r="M17" s="94" t="str">
        <f t="shared" si="0"/>
        <v>Customer</v>
      </c>
      <c r="N17" s="116">
        <f t="shared" si="1"/>
        <v>18</v>
      </c>
      <c r="O17" s="55"/>
    </row>
    <row r="18" spans="1:15" ht="31.9" customHeight="1" thickBot="1">
      <c r="A18" s="55"/>
      <c r="B18" s="156">
        <v>3</v>
      </c>
      <c r="C18" s="240" t="s">
        <v>60</v>
      </c>
      <c r="D18" s="241"/>
      <c r="E18" s="242" t="s">
        <v>179</v>
      </c>
      <c r="F18" s="243"/>
      <c r="G18" s="244"/>
      <c r="H18" s="157">
        <v>0.2</v>
      </c>
      <c r="I18" s="157" t="s">
        <v>26</v>
      </c>
      <c r="J18" s="158">
        <v>15</v>
      </c>
      <c r="K18" s="104" t="s">
        <v>27</v>
      </c>
      <c r="L18" s="158">
        <v>9</v>
      </c>
      <c r="M18" s="104" t="str">
        <f t="shared" si="0"/>
        <v>Customer</v>
      </c>
      <c r="N18" s="159">
        <f t="shared" si="1"/>
        <v>12</v>
      </c>
      <c r="O18" s="55"/>
    </row>
    <row r="19" spans="1:15" ht="14.25" customHeight="1" thickBot="1">
      <c r="A19" s="55"/>
      <c r="B19" s="60"/>
      <c r="C19" s="226" t="s">
        <v>28</v>
      </c>
      <c r="D19" s="227"/>
      <c r="E19" s="227"/>
      <c r="F19" s="227"/>
      <c r="G19" s="228"/>
      <c r="H19" s="85">
        <f>SUM(H16:H18)</f>
        <v>1</v>
      </c>
      <c r="I19" s="107"/>
      <c r="J19" s="55"/>
      <c r="K19" s="55"/>
      <c r="L19" s="55"/>
      <c r="M19" s="117" t="s">
        <v>29</v>
      </c>
      <c r="N19" s="118">
        <f>SUM(N16:N18)</f>
        <v>30</v>
      </c>
      <c r="O19" s="55"/>
    </row>
    <row r="20" spans="1:15" ht="6" customHeight="1">
      <c r="B20" s="48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112"/>
    </row>
    <row r="21" spans="1:15" ht="14.25" customHeight="1">
      <c r="B21" s="48"/>
      <c r="C21" s="61" t="s">
        <v>30</v>
      </c>
      <c r="D21" s="49" t="s">
        <v>31</v>
      </c>
      <c r="E21" s="49"/>
      <c r="F21" s="49"/>
      <c r="G21" s="47"/>
      <c r="H21" s="47"/>
      <c r="I21" s="47"/>
      <c r="J21" s="47"/>
      <c r="K21" s="47"/>
      <c r="L21" s="47"/>
      <c r="M21" s="47"/>
      <c r="N21" s="112"/>
    </row>
    <row r="22" spans="1:15" ht="14.25" customHeight="1">
      <c r="B22" s="48"/>
      <c r="C22" s="47"/>
      <c r="D22" s="47"/>
      <c r="E22" s="86">
        <f>N19</f>
        <v>30</v>
      </c>
      <c r="F22" s="87" t="s">
        <v>32</v>
      </c>
      <c r="G22" s="88">
        <v>0.8</v>
      </c>
      <c r="H22" s="125" t="s">
        <v>33</v>
      </c>
      <c r="I22" s="108">
        <f>G22*E22</f>
        <v>24</v>
      </c>
      <c r="L22" s="47"/>
      <c r="M22" s="47"/>
      <c r="N22" s="112"/>
    </row>
    <row r="23" spans="1:15" ht="4.5" customHeight="1">
      <c r="B23" s="48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112"/>
    </row>
    <row r="24" spans="1:15" ht="20.45" customHeight="1">
      <c r="B24" s="62" t="s">
        <v>34</v>
      </c>
      <c r="C24" s="63"/>
      <c r="D24" s="64"/>
      <c r="E24" s="21"/>
      <c r="F24" s="64"/>
      <c r="G24" s="89"/>
      <c r="H24" s="64"/>
      <c r="I24" s="64"/>
      <c r="J24" s="64"/>
      <c r="K24" s="64"/>
      <c r="L24" s="64"/>
      <c r="M24" s="64"/>
      <c r="N24" s="119"/>
    </row>
    <row r="25" spans="1:15" ht="6" customHeight="1">
      <c r="B25" s="65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120"/>
    </row>
    <row r="26" spans="1:15" ht="14.25" customHeight="1">
      <c r="B26" s="65"/>
      <c r="E26" s="90" t="s">
        <v>13</v>
      </c>
      <c r="F26" s="215" t="s">
        <v>35</v>
      </c>
      <c r="G26" s="197"/>
      <c r="H26" s="91" t="s">
        <v>16</v>
      </c>
      <c r="I26" s="109" t="s">
        <v>36</v>
      </c>
      <c r="J26" s="215" t="s">
        <v>37</v>
      </c>
      <c r="K26" s="197"/>
      <c r="N26" s="120"/>
    </row>
    <row r="27" spans="1:15" ht="14.25" customHeight="1">
      <c r="A27" s="55"/>
      <c r="B27" s="65"/>
      <c r="E27" s="92">
        <v>1</v>
      </c>
      <c r="F27" s="216" t="s">
        <v>38</v>
      </c>
      <c r="G27" s="217"/>
      <c r="H27" s="93">
        <v>0.25</v>
      </c>
      <c r="I27" s="92">
        <v>80</v>
      </c>
      <c r="J27" s="218">
        <f t="shared" ref="J27:J30" si="2">H27*I27</f>
        <v>20</v>
      </c>
      <c r="K27" s="217"/>
      <c r="N27" s="120"/>
    </row>
    <row r="28" spans="1:15" ht="14.25" customHeight="1">
      <c r="A28" s="55"/>
      <c r="B28" s="65"/>
      <c r="E28" s="94">
        <v>2</v>
      </c>
      <c r="F28" s="214" t="s">
        <v>39</v>
      </c>
      <c r="G28" s="212"/>
      <c r="H28" s="82">
        <v>0.25</v>
      </c>
      <c r="I28" s="94">
        <v>80</v>
      </c>
      <c r="J28" s="213">
        <f t="shared" si="2"/>
        <v>20</v>
      </c>
      <c r="K28" s="212"/>
      <c r="N28" s="120"/>
    </row>
    <row r="29" spans="1:15" ht="14.25" customHeight="1">
      <c r="B29" s="65"/>
      <c r="E29" s="94">
        <v>3</v>
      </c>
      <c r="F29" s="211" t="s">
        <v>40</v>
      </c>
      <c r="G29" s="212"/>
      <c r="H29" s="82">
        <v>0.25</v>
      </c>
      <c r="I29" s="94">
        <v>80</v>
      </c>
      <c r="J29" s="213">
        <f t="shared" si="2"/>
        <v>20</v>
      </c>
      <c r="K29" s="212"/>
      <c r="N29" s="120"/>
    </row>
    <row r="30" spans="1:15" ht="14.25" customHeight="1">
      <c r="A30" s="55"/>
      <c r="B30" s="65"/>
      <c r="E30" s="94">
        <v>4</v>
      </c>
      <c r="F30" s="214" t="s">
        <v>41</v>
      </c>
      <c r="G30" s="212"/>
      <c r="H30" s="82">
        <v>0.25</v>
      </c>
      <c r="I30" s="94">
        <v>80</v>
      </c>
      <c r="J30" s="213">
        <f t="shared" si="2"/>
        <v>20</v>
      </c>
      <c r="K30" s="212"/>
      <c r="N30" s="120"/>
    </row>
    <row r="31" spans="1:15" ht="14.25" customHeight="1">
      <c r="A31" s="55"/>
      <c r="B31" s="65"/>
      <c r="E31" s="94"/>
      <c r="F31" s="95"/>
      <c r="G31" s="96"/>
      <c r="H31" s="82"/>
      <c r="I31" s="94"/>
      <c r="J31" s="213"/>
      <c r="K31" s="212"/>
      <c r="N31" s="120"/>
    </row>
    <row r="32" spans="1:15" ht="14.25" customHeight="1">
      <c r="B32" s="65"/>
      <c r="E32" s="94"/>
      <c r="F32" s="191"/>
      <c r="G32" s="192"/>
      <c r="H32" s="82"/>
      <c r="I32" s="94"/>
      <c r="J32" s="193"/>
      <c r="K32" s="194"/>
      <c r="N32" s="120"/>
    </row>
    <row r="33" spans="1:14" ht="14.25" customHeight="1">
      <c r="A33" s="55"/>
      <c r="B33" s="65"/>
      <c r="E33" s="195" t="s">
        <v>42</v>
      </c>
      <c r="F33" s="196"/>
      <c r="G33" s="197"/>
      <c r="H33" s="97">
        <f>SUM(H27:H32)</f>
        <v>1</v>
      </c>
      <c r="I33" s="90" t="s">
        <v>29</v>
      </c>
      <c r="J33" s="198">
        <f>SUM(J27:J32)</f>
        <v>80</v>
      </c>
      <c r="K33" s="197"/>
      <c r="N33" s="120"/>
    </row>
    <row r="34" spans="1:14" ht="8.25" customHeight="1">
      <c r="B34" s="65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120"/>
    </row>
    <row r="35" spans="1:14" ht="14.25" customHeight="1">
      <c r="B35" s="65"/>
      <c r="C35" s="61" t="s">
        <v>43</v>
      </c>
      <c r="D35" s="49" t="s">
        <v>31</v>
      </c>
      <c r="E35" s="49"/>
      <c r="F35" s="49"/>
      <c r="G35" s="47"/>
      <c r="H35" s="47"/>
      <c r="I35" s="47"/>
      <c r="J35" s="47"/>
      <c r="K35" s="47"/>
      <c r="L35" s="47"/>
      <c r="M35" s="47"/>
      <c r="N35" s="120"/>
    </row>
    <row r="36" spans="1:14" ht="14.25" customHeight="1">
      <c r="B36" s="65"/>
      <c r="C36" s="47"/>
      <c r="D36" s="47"/>
      <c r="E36" s="98">
        <f>J33</f>
        <v>80</v>
      </c>
      <c r="F36" s="87" t="s">
        <v>32</v>
      </c>
      <c r="G36" s="88">
        <v>0.2</v>
      </c>
      <c r="H36" s="125" t="s">
        <v>33</v>
      </c>
      <c r="I36" s="110">
        <f>G36*E36</f>
        <v>16</v>
      </c>
      <c r="L36" s="47"/>
      <c r="M36" s="47"/>
      <c r="N36" s="120"/>
    </row>
    <row r="37" spans="1:14" ht="9.75" customHeight="1"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121"/>
    </row>
    <row r="38" spans="1:14" ht="5.25" customHeight="1">
      <c r="B38" s="48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112"/>
    </row>
    <row r="39" spans="1:14" ht="14.25" customHeight="1">
      <c r="B39" s="48"/>
      <c r="C39" s="51" t="s">
        <v>44</v>
      </c>
      <c r="D39" s="68"/>
      <c r="E39" s="68"/>
      <c r="F39" s="68"/>
      <c r="G39" s="68"/>
      <c r="H39" s="68"/>
      <c r="I39" s="68"/>
      <c r="J39" s="68"/>
      <c r="K39" s="68"/>
      <c r="L39" s="68"/>
      <c r="M39" s="47"/>
      <c r="N39" s="112"/>
    </row>
    <row r="40" spans="1:14" s="17" customFormat="1" ht="24.6" customHeight="1">
      <c r="B40" s="69"/>
      <c r="C40" s="70" t="s">
        <v>45</v>
      </c>
      <c r="D40" s="71"/>
      <c r="E40" s="71"/>
      <c r="F40" s="71"/>
      <c r="G40" s="71"/>
      <c r="H40" s="99">
        <f>I22</f>
        <v>24</v>
      </c>
      <c r="I40" s="126" t="s">
        <v>46</v>
      </c>
      <c r="J40" s="99">
        <f>I36</f>
        <v>16</v>
      </c>
      <c r="K40" s="126" t="s">
        <v>33</v>
      </c>
      <c r="L40" s="99">
        <f>H40+J40</f>
        <v>40</v>
      </c>
      <c r="M40" s="55"/>
      <c r="N40" s="122"/>
    </row>
    <row r="41" spans="1:14" ht="14.25" customHeight="1">
      <c r="B41" s="48"/>
      <c r="C41" s="51"/>
      <c r="D41" s="68"/>
      <c r="E41" s="68"/>
      <c r="F41" s="68"/>
      <c r="G41" s="68"/>
      <c r="H41" s="100"/>
      <c r="I41" s="111"/>
      <c r="J41" s="100"/>
      <c r="K41" s="111"/>
      <c r="L41" s="100"/>
      <c r="M41" s="47"/>
      <c r="N41" s="112"/>
    </row>
    <row r="42" spans="1:14" ht="14.25" customHeight="1">
      <c r="B42" s="48"/>
      <c r="C42" s="47" t="s">
        <v>47</v>
      </c>
      <c r="D42" s="47"/>
      <c r="F42" s="47"/>
      <c r="G42" s="73" t="s">
        <v>48</v>
      </c>
      <c r="H42" s="47"/>
      <c r="I42" s="47"/>
      <c r="J42" s="47"/>
      <c r="K42" s="47"/>
      <c r="L42" s="47"/>
      <c r="M42" s="47"/>
      <c r="N42" s="112"/>
    </row>
    <row r="43" spans="1:14" ht="14.25" customHeight="1">
      <c r="B43" s="48"/>
      <c r="C43" s="47"/>
      <c r="D43" s="47"/>
      <c r="F43" s="47"/>
      <c r="G43" s="47"/>
      <c r="H43" s="47"/>
      <c r="I43" s="47"/>
      <c r="J43" s="47"/>
      <c r="K43" s="47"/>
      <c r="L43" s="47"/>
      <c r="M43" s="47"/>
      <c r="N43" s="112"/>
    </row>
    <row r="44" spans="1:14" ht="14.25" customHeight="1">
      <c r="B44" s="48"/>
      <c r="C44" s="47"/>
      <c r="D44" s="47"/>
      <c r="F44" s="47"/>
      <c r="G44" s="47"/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72"/>
      <c r="D47" s="72"/>
      <c r="F47" s="47"/>
      <c r="G47" s="72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73" t="s">
        <v>49</v>
      </c>
      <c r="D48" s="47"/>
      <c r="F48" s="47"/>
      <c r="G48" s="47" t="s">
        <v>50</v>
      </c>
      <c r="H48" s="47"/>
      <c r="I48" s="47"/>
      <c r="J48" s="47"/>
      <c r="K48" s="47"/>
      <c r="L48" s="47"/>
      <c r="M48" s="47"/>
      <c r="N48" s="112"/>
    </row>
    <row r="49" spans="2:14" ht="12.75" customHeight="1" thickBot="1">
      <c r="B49" s="74"/>
      <c r="C49" s="75" t="s">
        <v>51</v>
      </c>
      <c r="D49" s="76"/>
      <c r="E49" s="76"/>
      <c r="F49" s="76"/>
      <c r="G49" s="76" t="s">
        <v>52</v>
      </c>
      <c r="H49" s="76"/>
      <c r="I49" s="76"/>
      <c r="J49" s="76"/>
      <c r="K49" s="76"/>
      <c r="L49" s="76"/>
      <c r="M49" s="76"/>
      <c r="N49" s="123"/>
    </row>
    <row r="50" spans="2:14" ht="14.25" hidden="1" customHeight="1">
      <c r="B50" s="74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123"/>
    </row>
    <row r="51" spans="2:14" ht="14.25" customHeight="1"/>
    <row r="52" spans="2:14" ht="14.25" customHeight="1"/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</sheetData>
  <mergeCells count="25">
    <mergeCell ref="E18:G18"/>
    <mergeCell ref="C19:G19"/>
    <mergeCell ref="F26:G26"/>
    <mergeCell ref="F32:G32"/>
    <mergeCell ref="E15:G15"/>
    <mergeCell ref="C16:D16"/>
    <mergeCell ref="E16:G16"/>
    <mergeCell ref="C17:D17"/>
    <mergeCell ref="E17:G17"/>
    <mergeCell ref="J32:K32"/>
    <mergeCell ref="E33:G33"/>
    <mergeCell ref="J33:K33"/>
    <mergeCell ref="N2:N5"/>
    <mergeCell ref="B2:M5"/>
    <mergeCell ref="F29:G29"/>
    <mergeCell ref="J29:K29"/>
    <mergeCell ref="F30:G30"/>
    <mergeCell ref="J30:K30"/>
    <mergeCell ref="J31:K31"/>
    <mergeCell ref="J26:K26"/>
    <mergeCell ref="F27:G27"/>
    <mergeCell ref="J27:K27"/>
    <mergeCell ref="F28:G28"/>
    <mergeCell ref="J28:K28"/>
    <mergeCell ref="C18:D18"/>
  </mergeCells>
  <pageMargins left="0.25" right="0.25" top="4.1666666666666699E-2" bottom="0.133333333333333" header="0" footer="0"/>
  <pageSetup paperSize="9" scale="8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8CE9EA6-D112-4E8E-AC13-12B248D792AF}">
          <x14:formula1>
            <xm:f>Sheet2!$B$2:$B$3</xm:f>
          </x14:formula1>
          <xm:sqref>I16:I18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81A9-DC75-44FC-B6DA-2254C536EB50}">
  <dimension ref="A1:O88"/>
  <sheetViews>
    <sheetView showGridLines="0" topLeftCell="A4" zoomScale="95" zoomScaleNormal="95" workbookViewId="0">
      <selection activeCell="P12" sqref="P12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 thickBo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 thickBo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53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8" t="s">
        <v>82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9" t="s">
        <v>144</v>
      </c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11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 thickBo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 thickBot="1">
      <c r="B15" s="52" t="s">
        <v>13</v>
      </c>
      <c r="C15" s="53" t="s">
        <v>14</v>
      </c>
      <c r="D15" s="54"/>
      <c r="E15" s="229" t="s">
        <v>15</v>
      </c>
      <c r="F15" s="230"/>
      <c r="G15" s="231"/>
      <c r="H15" s="80" t="s">
        <v>16</v>
      </c>
      <c r="I15" s="80" t="s">
        <v>17</v>
      </c>
      <c r="J15" s="80" t="s">
        <v>18</v>
      </c>
      <c r="K15" s="80" t="s">
        <v>19</v>
      </c>
      <c r="L15" s="80" t="s">
        <v>20</v>
      </c>
      <c r="M15" s="113" t="s">
        <v>19</v>
      </c>
      <c r="N15" s="54" t="s">
        <v>21</v>
      </c>
    </row>
    <row r="16" spans="1:15" ht="31.9" customHeight="1">
      <c r="A16" s="55"/>
      <c r="B16" s="56">
        <v>1</v>
      </c>
      <c r="C16" s="248" t="s">
        <v>55</v>
      </c>
      <c r="D16" s="233"/>
      <c r="E16" s="234" t="s">
        <v>56</v>
      </c>
      <c r="F16" s="235"/>
      <c r="G16" s="236"/>
      <c r="H16" s="81">
        <v>0.5</v>
      </c>
      <c r="I16" s="81" t="s">
        <v>26</v>
      </c>
      <c r="J16" s="101">
        <v>0</v>
      </c>
      <c r="K16" s="102" t="s">
        <v>57</v>
      </c>
      <c r="L16" s="101">
        <v>0</v>
      </c>
      <c r="M16" s="114" t="str">
        <f t="shared" ref="M16:M18" si="0">K16</f>
        <v>Rupiah</v>
      </c>
      <c r="N16" s="115">
        <v>0</v>
      </c>
      <c r="O16" s="115" t="b">
        <f t="shared" ref="N16:O19" si="1">IF(J16="Maximize",M16/K16*100*I16,IF(J16="Minimize",K16/M16*100*I16))</f>
        <v>0</v>
      </c>
    </row>
    <row r="17" spans="1:15" ht="31.9" customHeight="1">
      <c r="A17" s="55"/>
      <c r="B17" s="57">
        <v>2</v>
      </c>
      <c r="C17" s="249" t="s">
        <v>58</v>
      </c>
      <c r="D17" s="238"/>
      <c r="E17" s="239" t="s">
        <v>59</v>
      </c>
      <c r="F17" s="239"/>
      <c r="G17" s="220"/>
      <c r="H17" s="82">
        <v>0.2</v>
      </c>
      <c r="I17" s="82" t="s">
        <v>26</v>
      </c>
      <c r="J17" s="103">
        <v>3</v>
      </c>
      <c r="K17" s="94" t="s">
        <v>27</v>
      </c>
      <c r="L17" s="103">
        <v>1</v>
      </c>
      <c r="M17" s="94" t="str">
        <f t="shared" si="0"/>
        <v>Customer</v>
      </c>
      <c r="N17" s="116">
        <f t="shared" si="1"/>
        <v>6.6666666666666661</v>
      </c>
      <c r="O17" s="55"/>
    </row>
    <row r="18" spans="1:15" ht="31.9" customHeight="1">
      <c r="A18" s="55"/>
      <c r="B18" s="58">
        <v>3</v>
      </c>
      <c r="C18" s="250" t="s">
        <v>60</v>
      </c>
      <c r="D18" s="251"/>
      <c r="E18" s="221" t="s">
        <v>61</v>
      </c>
      <c r="F18" s="222"/>
      <c r="G18" s="223"/>
      <c r="H18" s="82">
        <v>0.2</v>
      </c>
      <c r="I18" s="82" t="s">
        <v>26</v>
      </c>
      <c r="J18" s="103">
        <v>28</v>
      </c>
      <c r="K18" s="94" t="s">
        <v>27</v>
      </c>
      <c r="L18" s="103">
        <v>18</v>
      </c>
      <c r="M18" s="94" t="str">
        <f t="shared" si="0"/>
        <v>Customer</v>
      </c>
      <c r="N18" s="116">
        <f t="shared" si="1"/>
        <v>12.857142857142859</v>
      </c>
      <c r="O18" s="55"/>
    </row>
    <row r="19" spans="1:15" s="17" customFormat="1" ht="31.9" customHeight="1" thickBot="1">
      <c r="B19" s="59">
        <v>4</v>
      </c>
      <c r="C19" s="224" t="s">
        <v>62</v>
      </c>
      <c r="D19" s="225"/>
      <c r="E19" s="83" t="s">
        <v>62</v>
      </c>
      <c r="F19" s="83"/>
      <c r="G19" s="83"/>
      <c r="H19" s="84">
        <v>0.1</v>
      </c>
      <c r="I19" s="104" t="s">
        <v>26</v>
      </c>
      <c r="J19" s="105">
        <v>2</v>
      </c>
      <c r="K19" s="104" t="s">
        <v>62</v>
      </c>
      <c r="L19" s="106">
        <v>2</v>
      </c>
      <c r="M19" s="124" t="s">
        <v>62</v>
      </c>
      <c r="N19" s="116">
        <f t="shared" si="1"/>
        <v>10</v>
      </c>
    </row>
    <row r="20" spans="1:15" ht="14.25" customHeight="1" thickBot="1">
      <c r="A20" s="55"/>
      <c r="B20" s="60"/>
      <c r="C20" s="226" t="s">
        <v>28</v>
      </c>
      <c r="D20" s="227"/>
      <c r="E20" s="227"/>
      <c r="F20" s="227"/>
      <c r="G20" s="228"/>
      <c r="H20" s="85">
        <f>SUM(H16:H19)</f>
        <v>0.99999999999999989</v>
      </c>
      <c r="I20" s="107"/>
      <c r="J20" s="55"/>
      <c r="K20" s="55"/>
      <c r="L20" s="55"/>
      <c r="M20" s="117" t="s">
        <v>29</v>
      </c>
      <c r="N20" s="118">
        <f>SUM(N16:N19)</f>
        <v>29.523809523809526</v>
      </c>
      <c r="O20" s="55"/>
    </row>
    <row r="21" spans="1:15" ht="6" customHeight="1">
      <c r="B21" s="48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112"/>
    </row>
    <row r="22" spans="1:15" ht="14.25" customHeight="1" thickBot="1">
      <c r="B22" s="48"/>
      <c r="C22" s="61" t="s">
        <v>30</v>
      </c>
      <c r="D22" s="49" t="s">
        <v>31</v>
      </c>
      <c r="E22" s="49"/>
      <c r="F22" s="49"/>
      <c r="G22" s="47"/>
      <c r="H22" s="47"/>
      <c r="I22" s="47"/>
      <c r="J22" s="47"/>
      <c r="K22" s="47"/>
      <c r="L22" s="47"/>
      <c r="M22" s="47"/>
      <c r="N22" s="112"/>
    </row>
    <row r="23" spans="1:15" ht="14.25" customHeight="1" thickBot="1">
      <c r="B23" s="48"/>
      <c r="C23" s="47"/>
      <c r="D23" s="47"/>
      <c r="E23" s="86">
        <f>N20</f>
        <v>29.523809523809526</v>
      </c>
      <c r="F23" s="87" t="s">
        <v>32</v>
      </c>
      <c r="G23" s="88">
        <v>0.8</v>
      </c>
      <c r="H23" s="125" t="s">
        <v>33</v>
      </c>
      <c r="I23" s="108">
        <f>G23*E23</f>
        <v>23.61904761904762</v>
      </c>
      <c r="L23" s="47"/>
      <c r="M23" s="47"/>
      <c r="N23" s="112"/>
    </row>
    <row r="24" spans="1:15" ht="4.5" customHeight="1" thickBot="1">
      <c r="B24" s="48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112"/>
    </row>
    <row r="25" spans="1:15" ht="20.45" customHeight="1">
      <c r="B25" s="62" t="s">
        <v>34</v>
      </c>
      <c r="C25" s="63"/>
      <c r="D25" s="64"/>
      <c r="E25" s="21"/>
      <c r="F25" s="64"/>
      <c r="G25" s="89"/>
      <c r="H25" s="64"/>
      <c r="I25" s="64"/>
      <c r="J25" s="64"/>
      <c r="K25" s="64"/>
      <c r="L25" s="64"/>
      <c r="M25" s="64"/>
      <c r="N25" s="119"/>
    </row>
    <row r="26" spans="1:15" ht="6" customHeight="1" thickBot="1">
      <c r="B26" s="65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120"/>
    </row>
    <row r="27" spans="1:15" ht="14.25" customHeight="1" thickBot="1">
      <c r="B27" s="65"/>
      <c r="E27" s="90" t="s">
        <v>13</v>
      </c>
      <c r="F27" s="215" t="s">
        <v>35</v>
      </c>
      <c r="G27" s="197"/>
      <c r="H27" s="91" t="s">
        <v>16</v>
      </c>
      <c r="I27" s="109" t="s">
        <v>36</v>
      </c>
      <c r="J27" s="215" t="s">
        <v>37</v>
      </c>
      <c r="K27" s="197"/>
      <c r="N27" s="120"/>
    </row>
    <row r="28" spans="1:15" ht="14.25" customHeight="1">
      <c r="A28" s="55"/>
      <c r="B28" s="65"/>
      <c r="E28" s="92">
        <v>1</v>
      </c>
      <c r="F28" s="216" t="s">
        <v>38</v>
      </c>
      <c r="G28" s="217"/>
      <c r="H28" s="93">
        <v>0.25</v>
      </c>
      <c r="I28" s="92">
        <v>80</v>
      </c>
      <c r="J28" s="218">
        <f t="shared" ref="J28:J31" si="2">H28*I28</f>
        <v>20</v>
      </c>
      <c r="K28" s="217"/>
      <c r="N28" s="120"/>
    </row>
    <row r="29" spans="1:15" ht="14.25" customHeight="1">
      <c r="A29" s="55"/>
      <c r="B29" s="65"/>
      <c r="E29" s="94">
        <v>2</v>
      </c>
      <c r="F29" s="214" t="s">
        <v>39</v>
      </c>
      <c r="G29" s="212"/>
      <c r="H29" s="82">
        <v>0.25</v>
      </c>
      <c r="I29" s="94">
        <v>90</v>
      </c>
      <c r="J29" s="213">
        <f t="shared" si="2"/>
        <v>22.5</v>
      </c>
      <c r="K29" s="212"/>
      <c r="N29" s="120"/>
    </row>
    <row r="30" spans="1:15" ht="14.25" customHeight="1">
      <c r="B30" s="65"/>
      <c r="E30" s="94">
        <v>3</v>
      </c>
      <c r="F30" s="211" t="s">
        <v>40</v>
      </c>
      <c r="G30" s="212"/>
      <c r="H30" s="82">
        <v>0.25</v>
      </c>
      <c r="I30" s="94">
        <v>90</v>
      </c>
      <c r="J30" s="213">
        <f t="shared" si="2"/>
        <v>22.5</v>
      </c>
      <c r="K30" s="212"/>
      <c r="N30" s="120"/>
    </row>
    <row r="31" spans="1:15" ht="14.25" customHeight="1">
      <c r="A31" s="55"/>
      <c r="B31" s="65"/>
      <c r="E31" s="94">
        <v>4</v>
      </c>
      <c r="F31" s="214" t="s">
        <v>41</v>
      </c>
      <c r="G31" s="212"/>
      <c r="H31" s="82">
        <v>0.25</v>
      </c>
      <c r="I31" s="94">
        <v>85</v>
      </c>
      <c r="J31" s="213">
        <f t="shared" si="2"/>
        <v>21.25</v>
      </c>
      <c r="K31" s="212"/>
      <c r="N31" s="120"/>
    </row>
    <row r="32" spans="1:15" ht="14.25" customHeight="1">
      <c r="A32" s="55"/>
      <c r="B32" s="65"/>
      <c r="E32" s="94"/>
      <c r="F32" s="95"/>
      <c r="G32" s="96"/>
      <c r="H32" s="82"/>
      <c r="I32" s="94"/>
      <c r="J32" s="213"/>
      <c r="K32" s="212"/>
      <c r="N32" s="120"/>
    </row>
    <row r="33" spans="1:14" ht="14.25" customHeight="1" thickBot="1">
      <c r="B33" s="65"/>
      <c r="E33" s="94"/>
      <c r="F33" s="191"/>
      <c r="G33" s="192"/>
      <c r="H33" s="82"/>
      <c r="I33" s="94"/>
      <c r="J33" s="193"/>
      <c r="K33" s="194"/>
      <c r="N33" s="120"/>
    </row>
    <row r="34" spans="1:14" ht="14.25" customHeight="1" thickBot="1">
      <c r="A34" s="55"/>
      <c r="B34" s="65"/>
      <c r="E34" s="195" t="s">
        <v>42</v>
      </c>
      <c r="F34" s="196"/>
      <c r="G34" s="197"/>
      <c r="H34" s="97">
        <f>SUM(H28:H33)</f>
        <v>1</v>
      </c>
      <c r="I34" s="90" t="s">
        <v>29</v>
      </c>
      <c r="J34" s="198">
        <f>SUM(J28:J33)</f>
        <v>86.25</v>
      </c>
      <c r="K34" s="197"/>
      <c r="N34" s="120"/>
    </row>
    <row r="35" spans="1:14" ht="8.25" customHeight="1">
      <c r="B35" s="65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120"/>
    </row>
    <row r="36" spans="1:14" ht="14.25" customHeight="1" thickBot="1">
      <c r="B36" s="65"/>
      <c r="C36" s="61" t="s">
        <v>43</v>
      </c>
      <c r="D36" s="49" t="s">
        <v>31</v>
      </c>
      <c r="E36" s="49"/>
      <c r="F36" s="49"/>
      <c r="G36" s="47"/>
      <c r="H36" s="47"/>
      <c r="I36" s="47"/>
      <c r="J36" s="47"/>
      <c r="K36" s="47"/>
      <c r="L36" s="47"/>
      <c r="M36" s="47"/>
      <c r="N36" s="120"/>
    </row>
    <row r="37" spans="1:14" ht="14.25" customHeight="1" thickBot="1">
      <c r="B37" s="65"/>
      <c r="C37" s="47"/>
      <c r="D37" s="47"/>
      <c r="E37" s="98">
        <f>J34</f>
        <v>86.25</v>
      </c>
      <c r="F37" s="87" t="s">
        <v>32</v>
      </c>
      <c r="G37" s="88">
        <v>0.2</v>
      </c>
      <c r="H37" s="125" t="s">
        <v>33</v>
      </c>
      <c r="I37" s="110">
        <f>G37*E37</f>
        <v>17.25</v>
      </c>
      <c r="L37" s="47"/>
      <c r="M37" s="47"/>
      <c r="N37" s="120"/>
    </row>
    <row r="38" spans="1:14" ht="9.75" customHeight="1" thickBot="1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121"/>
    </row>
    <row r="39" spans="1:14" ht="5.25" customHeight="1">
      <c r="B39" s="48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112"/>
    </row>
    <row r="40" spans="1:14" ht="14.25" customHeight="1" thickBot="1">
      <c r="B40" s="48"/>
      <c r="C40" s="51" t="s">
        <v>44</v>
      </c>
      <c r="D40" s="68"/>
      <c r="E40" s="68"/>
      <c r="F40" s="68"/>
      <c r="G40" s="68"/>
      <c r="H40" s="68"/>
      <c r="I40" s="68"/>
      <c r="J40" s="68"/>
      <c r="K40" s="68"/>
      <c r="L40" s="68"/>
      <c r="M40" s="47"/>
      <c r="N40" s="112"/>
    </row>
    <row r="41" spans="1:14" s="17" customFormat="1" ht="24.6" customHeight="1" thickBot="1">
      <c r="B41" s="69"/>
      <c r="C41" s="70" t="s">
        <v>45</v>
      </c>
      <c r="D41" s="71"/>
      <c r="E41" s="71"/>
      <c r="F41" s="71"/>
      <c r="G41" s="71"/>
      <c r="H41" s="99">
        <f>I23</f>
        <v>23.61904761904762</v>
      </c>
      <c r="I41" s="126" t="s">
        <v>46</v>
      </c>
      <c r="J41" s="99">
        <f>I37</f>
        <v>17.25</v>
      </c>
      <c r="K41" s="126" t="s">
        <v>33</v>
      </c>
      <c r="L41" s="99">
        <f>H41+J41</f>
        <v>40.86904761904762</v>
      </c>
      <c r="M41" s="55"/>
      <c r="N41" s="122"/>
    </row>
    <row r="42" spans="1:14" ht="14.25" customHeight="1">
      <c r="B42" s="48"/>
      <c r="C42" s="51"/>
      <c r="D42" s="68"/>
      <c r="E42" s="68"/>
      <c r="F42" s="68"/>
      <c r="G42" s="68"/>
      <c r="H42" s="100"/>
      <c r="I42" s="111"/>
      <c r="J42" s="100"/>
      <c r="K42" s="111"/>
      <c r="L42" s="100"/>
      <c r="M42" s="47"/>
      <c r="N42" s="112"/>
    </row>
    <row r="43" spans="1:14" ht="14.25" customHeight="1">
      <c r="B43" s="48"/>
      <c r="C43" s="47" t="s">
        <v>47</v>
      </c>
      <c r="D43" s="47"/>
      <c r="F43" s="47"/>
      <c r="G43" s="73" t="s">
        <v>48</v>
      </c>
      <c r="H43" s="47"/>
      <c r="I43" s="47"/>
      <c r="J43" s="47"/>
      <c r="K43" s="47"/>
      <c r="L43" s="47"/>
      <c r="M43" s="47"/>
      <c r="N43" s="112"/>
    </row>
    <row r="44" spans="1:14" ht="14.25" customHeight="1">
      <c r="B44" s="48"/>
      <c r="C44" s="47"/>
      <c r="D44" s="47"/>
      <c r="F44" s="47"/>
      <c r="G44" s="47"/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47"/>
      <c r="D47" s="47"/>
      <c r="F47" s="47"/>
      <c r="G47" s="47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72"/>
      <c r="D48" s="72"/>
      <c r="F48" s="47"/>
      <c r="G48" s="72"/>
      <c r="H48" s="47"/>
      <c r="I48" s="47"/>
      <c r="J48" s="47"/>
      <c r="K48" s="47"/>
      <c r="L48" s="47"/>
      <c r="M48" s="47"/>
      <c r="N48" s="112"/>
    </row>
    <row r="49" spans="2:14" ht="14.25" customHeight="1">
      <c r="B49" s="48"/>
      <c r="C49" s="73" t="s">
        <v>49</v>
      </c>
      <c r="D49" s="47"/>
      <c r="F49" s="47"/>
      <c r="G49" s="47" t="s">
        <v>50</v>
      </c>
      <c r="H49" s="47"/>
      <c r="I49" s="47"/>
      <c r="J49" s="47"/>
      <c r="K49" s="47"/>
      <c r="L49" s="47"/>
      <c r="M49" s="47"/>
      <c r="N49" s="112"/>
    </row>
    <row r="50" spans="2:14" ht="12.75" customHeight="1" thickBot="1">
      <c r="B50" s="74"/>
      <c r="C50" s="75" t="s">
        <v>51</v>
      </c>
      <c r="D50" s="76"/>
      <c r="E50" s="76"/>
      <c r="F50" s="76"/>
      <c r="G50" s="76" t="s">
        <v>52</v>
      </c>
      <c r="H50" s="76"/>
      <c r="I50" s="76"/>
      <c r="J50" s="76"/>
      <c r="K50" s="76"/>
      <c r="L50" s="76"/>
      <c r="M50" s="76"/>
      <c r="N50" s="123"/>
    </row>
    <row r="51" spans="2:14" ht="14.25" hidden="1" customHeight="1">
      <c r="B51" s="74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123"/>
    </row>
    <row r="52" spans="2:14" ht="14.25" customHeight="1"/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</sheetData>
  <mergeCells count="26">
    <mergeCell ref="E34:G34"/>
    <mergeCell ref="J34:K34"/>
    <mergeCell ref="F28:G28"/>
    <mergeCell ref="J28:K28"/>
    <mergeCell ref="F29:G29"/>
    <mergeCell ref="J29:K29"/>
    <mergeCell ref="F30:G30"/>
    <mergeCell ref="J30:K30"/>
    <mergeCell ref="F31:G31"/>
    <mergeCell ref="J31:K31"/>
    <mergeCell ref="J32:K32"/>
    <mergeCell ref="F33:G33"/>
    <mergeCell ref="J33:K33"/>
    <mergeCell ref="J27:K27"/>
    <mergeCell ref="B2:M5"/>
    <mergeCell ref="N2:N5"/>
    <mergeCell ref="E15:G15"/>
    <mergeCell ref="C16:D16"/>
    <mergeCell ref="E16:G16"/>
    <mergeCell ref="C17:D17"/>
    <mergeCell ref="E17:G17"/>
    <mergeCell ref="C18:D18"/>
    <mergeCell ref="E18:G18"/>
    <mergeCell ref="C19:D19"/>
    <mergeCell ref="C20:G20"/>
    <mergeCell ref="F27:G27"/>
  </mergeCells>
  <pageMargins left="0.25" right="0.25" top="4.1666666666666699E-2" bottom="0.133333333333333" header="0" footer="0"/>
  <pageSetup paperSize="9" scale="8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57627B8-1299-4B78-9AC1-3BE0858A3D34}">
          <x14:formula1>
            <xm:f>Sheet2!$B$2:$B$3</xm:f>
          </x14:formula1>
          <xm:sqref>I16:I19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8"/>
  <sheetViews>
    <sheetView showGridLines="0" zoomScale="95" zoomScaleNormal="95" workbookViewId="0">
      <selection activeCell="E11" sqref="E11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53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8" t="s">
        <v>74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9"/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194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>
      <c r="B15" s="52" t="s">
        <v>13</v>
      </c>
      <c r="C15" s="53" t="s">
        <v>14</v>
      </c>
      <c r="D15" s="54"/>
      <c r="E15" s="229" t="s">
        <v>15</v>
      </c>
      <c r="F15" s="230"/>
      <c r="G15" s="231"/>
      <c r="H15" s="80" t="s">
        <v>16</v>
      </c>
      <c r="I15" s="80" t="s">
        <v>17</v>
      </c>
      <c r="J15" s="80" t="s">
        <v>18</v>
      </c>
      <c r="K15" s="80" t="s">
        <v>19</v>
      </c>
      <c r="L15" s="80" t="s">
        <v>20</v>
      </c>
      <c r="M15" s="113" t="s">
        <v>19</v>
      </c>
      <c r="N15" s="54" t="s">
        <v>21</v>
      </c>
    </row>
    <row r="16" spans="1:15" ht="31.9" customHeight="1">
      <c r="A16" s="55"/>
      <c r="B16" s="56">
        <v>1</v>
      </c>
      <c r="C16" s="248" t="s">
        <v>158</v>
      </c>
      <c r="D16" s="233"/>
      <c r="E16" s="234" t="s">
        <v>75</v>
      </c>
      <c r="F16" s="235"/>
      <c r="G16" s="236"/>
      <c r="H16" s="81">
        <v>0.5</v>
      </c>
      <c r="I16" s="81" t="s">
        <v>26</v>
      </c>
      <c r="J16" s="101">
        <v>1</v>
      </c>
      <c r="K16" s="102" t="s">
        <v>67</v>
      </c>
      <c r="L16" s="101">
        <v>1</v>
      </c>
      <c r="M16" s="114" t="str">
        <f t="shared" ref="M16:M18" si="0">K16</f>
        <v>lead</v>
      </c>
      <c r="N16" s="115">
        <f t="shared" ref="N16:N19" si="1">IF(I16="Maximize",L16/J16*100*H16,IF(I16="Minimize",J16/L16*100*H16))</f>
        <v>50</v>
      </c>
      <c r="O16" s="55"/>
    </row>
    <row r="17" spans="1:15" ht="31.9" customHeight="1">
      <c r="A17" s="55"/>
      <c r="B17" s="57">
        <v>2</v>
      </c>
      <c r="C17" s="237" t="s">
        <v>76</v>
      </c>
      <c r="D17" s="238"/>
      <c r="E17" s="239" t="s">
        <v>77</v>
      </c>
      <c r="F17" s="239"/>
      <c r="G17" s="220"/>
      <c r="H17" s="82">
        <v>0.2</v>
      </c>
      <c r="I17" s="82" t="s">
        <v>26</v>
      </c>
      <c r="J17" s="103">
        <v>1</v>
      </c>
      <c r="K17" s="94" t="s">
        <v>78</v>
      </c>
      <c r="L17" s="103">
        <v>5</v>
      </c>
      <c r="M17" s="94" t="str">
        <f t="shared" si="0"/>
        <v>kali eror</v>
      </c>
      <c r="N17" s="116">
        <f t="shared" si="1"/>
        <v>100</v>
      </c>
      <c r="O17" s="55"/>
    </row>
    <row r="18" spans="1:15" ht="31.9" customHeight="1">
      <c r="A18" s="55"/>
      <c r="B18" s="58">
        <v>3</v>
      </c>
      <c r="C18" s="250" t="s">
        <v>79</v>
      </c>
      <c r="D18" s="251"/>
      <c r="E18" s="221" t="s">
        <v>80</v>
      </c>
      <c r="F18" s="222"/>
      <c r="G18" s="223"/>
      <c r="H18" s="82">
        <v>0.2</v>
      </c>
      <c r="I18" s="82" t="s">
        <v>26</v>
      </c>
      <c r="J18" s="103">
        <v>1</v>
      </c>
      <c r="K18" s="94" t="s">
        <v>57</v>
      </c>
      <c r="L18" s="103">
        <v>1</v>
      </c>
      <c r="M18" s="94" t="str">
        <f t="shared" si="0"/>
        <v>Rupiah</v>
      </c>
      <c r="N18" s="116">
        <f t="shared" si="1"/>
        <v>20</v>
      </c>
      <c r="O18" s="55"/>
    </row>
    <row r="19" spans="1:15" s="17" customFormat="1" ht="31.9" customHeight="1">
      <c r="B19" s="59">
        <v>4</v>
      </c>
      <c r="C19" s="224" t="s">
        <v>81</v>
      </c>
      <c r="D19" s="225"/>
      <c r="E19" s="83" t="s">
        <v>81</v>
      </c>
      <c r="F19" s="83"/>
      <c r="G19" s="83"/>
      <c r="H19" s="84">
        <v>0.1</v>
      </c>
      <c r="I19" s="104" t="s">
        <v>26</v>
      </c>
      <c r="J19" s="105">
        <v>1</v>
      </c>
      <c r="K19" s="104" t="s">
        <v>62</v>
      </c>
      <c r="L19" s="106">
        <v>1</v>
      </c>
      <c r="M19" s="124" t="s">
        <v>62</v>
      </c>
      <c r="N19" s="116">
        <f t="shared" si="1"/>
        <v>10</v>
      </c>
    </row>
    <row r="20" spans="1:15" ht="14.25" customHeight="1">
      <c r="A20" s="55"/>
      <c r="B20" s="60"/>
      <c r="C20" s="226" t="s">
        <v>28</v>
      </c>
      <c r="D20" s="227"/>
      <c r="E20" s="227"/>
      <c r="F20" s="227"/>
      <c r="G20" s="228"/>
      <c r="H20" s="85">
        <f>SUM(H16:H19)</f>
        <v>1</v>
      </c>
      <c r="I20" s="107"/>
      <c r="J20" s="55"/>
      <c r="K20" s="55"/>
      <c r="L20" s="55"/>
      <c r="M20" s="117" t="s">
        <v>29</v>
      </c>
      <c r="N20" s="118">
        <f>SUM(N16:N19)</f>
        <v>180</v>
      </c>
      <c r="O20" s="55"/>
    </row>
    <row r="21" spans="1:15" ht="6" customHeight="1">
      <c r="B21" s="48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112"/>
    </row>
    <row r="22" spans="1:15" ht="14.25" customHeight="1">
      <c r="B22" s="48"/>
      <c r="C22" s="61" t="s">
        <v>30</v>
      </c>
      <c r="D22" s="49" t="s">
        <v>31</v>
      </c>
      <c r="E22" s="49"/>
      <c r="F22" s="49"/>
      <c r="G22" s="47"/>
      <c r="H22" s="47"/>
      <c r="I22" s="47"/>
      <c r="J22" s="47"/>
      <c r="K22" s="47"/>
      <c r="L22" s="47"/>
      <c r="M22" s="47"/>
      <c r="N22" s="112"/>
    </row>
    <row r="23" spans="1:15" ht="14.25" customHeight="1">
      <c r="B23" s="48"/>
      <c r="C23" s="47"/>
      <c r="D23" s="47"/>
      <c r="E23" s="86">
        <f>N20</f>
        <v>180</v>
      </c>
      <c r="F23" s="87" t="s">
        <v>32</v>
      </c>
      <c r="G23" s="88">
        <v>0.8</v>
      </c>
      <c r="H23" s="125" t="s">
        <v>33</v>
      </c>
      <c r="I23" s="108">
        <f>G23*E23</f>
        <v>144</v>
      </c>
      <c r="L23" s="47"/>
      <c r="M23" s="47"/>
      <c r="N23" s="112"/>
    </row>
    <row r="24" spans="1:15" ht="4.5" customHeight="1">
      <c r="B24" s="48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112"/>
    </row>
    <row r="25" spans="1:15" ht="20.45" customHeight="1">
      <c r="B25" s="62" t="s">
        <v>34</v>
      </c>
      <c r="C25" s="63"/>
      <c r="D25" s="64"/>
      <c r="E25" s="21"/>
      <c r="F25" s="64"/>
      <c r="G25" s="89"/>
      <c r="H25" s="64"/>
      <c r="I25" s="64"/>
      <c r="J25" s="64"/>
      <c r="K25" s="64"/>
      <c r="L25" s="64"/>
      <c r="M25" s="64"/>
      <c r="N25" s="119"/>
    </row>
    <row r="26" spans="1:15" ht="6" customHeight="1">
      <c r="B26" s="65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120"/>
    </row>
    <row r="27" spans="1:15" ht="14.25" customHeight="1">
      <c r="B27" s="65"/>
      <c r="E27" s="90" t="s">
        <v>13</v>
      </c>
      <c r="F27" s="215" t="s">
        <v>35</v>
      </c>
      <c r="G27" s="197"/>
      <c r="H27" s="91" t="s">
        <v>16</v>
      </c>
      <c r="I27" s="109" t="s">
        <v>36</v>
      </c>
      <c r="J27" s="215" t="s">
        <v>37</v>
      </c>
      <c r="K27" s="197"/>
      <c r="N27" s="120"/>
    </row>
    <row r="28" spans="1:15" ht="14.25" customHeight="1">
      <c r="A28" s="55"/>
      <c r="B28" s="65"/>
      <c r="E28" s="92">
        <v>1</v>
      </c>
      <c r="F28" s="216" t="s">
        <v>38</v>
      </c>
      <c r="G28" s="217"/>
      <c r="H28" s="93">
        <v>0.25</v>
      </c>
      <c r="I28" s="92">
        <v>80</v>
      </c>
      <c r="J28" s="218">
        <f t="shared" ref="J28:J31" si="2">H28*I28</f>
        <v>20</v>
      </c>
      <c r="K28" s="217"/>
      <c r="N28" s="120"/>
    </row>
    <row r="29" spans="1:15" ht="14.25" customHeight="1">
      <c r="A29" s="55"/>
      <c r="B29" s="65"/>
      <c r="E29" s="94">
        <v>2</v>
      </c>
      <c r="F29" s="214" t="s">
        <v>39</v>
      </c>
      <c r="G29" s="212"/>
      <c r="H29" s="82">
        <v>0.25</v>
      </c>
      <c r="I29" s="94">
        <v>90</v>
      </c>
      <c r="J29" s="213">
        <f t="shared" si="2"/>
        <v>22.5</v>
      </c>
      <c r="K29" s="212"/>
      <c r="N29" s="120"/>
    </row>
    <row r="30" spans="1:15" ht="14.25" customHeight="1">
      <c r="B30" s="65"/>
      <c r="E30" s="94">
        <v>3</v>
      </c>
      <c r="F30" s="211" t="s">
        <v>40</v>
      </c>
      <c r="G30" s="212"/>
      <c r="H30" s="82">
        <v>0.25</v>
      </c>
      <c r="I30" s="94">
        <v>90</v>
      </c>
      <c r="J30" s="213">
        <f t="shared" si="2"/>
        <v>22.5</v>
      </c>
      <c r="K30" s="212"/>
      <c r="N30" s="120"/>
    </row>
    <row r="31" spans="1:15" ht="14.25" customHeight="1">
      <c r="A31" s="55"/>
      <c r="B31" s="65"/>
      <c r="E31" s="94">
        <v>4</v>
      </c>
      <c r="F31" s="214" t="s">
        <v>41</v>
      </c>
      <c r="G31" s="212"/>
      <c r="H31" s="82">
        <v>0.25</v>
      </c>
      <c r="I31" s="94">
        <v>85</v>
      </c>
      <c r="J31" s="213">
        <f t="shared" si="2"/>
        <v>21.25</v>
      </c>
      <c r="K31" s="212"/>
      <c r="N31" s="120"/>
    </row>
    <row r="32" spans="1:15" ht="14.25" customHeight="1">
      <c r="A32" s="55"/>
      <c r="B32" s="65"/>
      <c r="E32" s="94"/>
      <c r="F32" s="95"/>
      <c r="G32" s="96"/>
      <c r="H32" s="82"/>
      <c r="I32" s="94"/>
      <c r="J32" s="213"/>
      <c r="K32" s="212"/>
      <c r="N32" s="120"/>
    </row>
    <row r="33" spans="1:14" ht="14.25" customHeight="1">
      <c r="B33" s="65"/>
      <c r="E33" s="94"/>
      <c r="F33" s="191"/>
      <c r="G33" s="192"/>
      <c r="H33" s="82"/>
      <c r="I33" s="94"/>
      <c r="J33" s="193"/>
      <c r="K33" s="194"/>
      <c r="N33" s="120"/>
    </row>
    <row r="34" spans="1:14" ht="14.25" customHeight="1">
      <c r="A34" s="55"/>
      <c r="B34" s="65"/>
      <c r="E34" s="195" t="s">
        <v>42</v>
      </c>
      <c r="F34" s="196"/>
      <c r="G34" s="197"/>
      <c r="H34" s="97">
        <f>SUM(H28:H33)</f>
        <v>1</v>
      </c>
      <c r="I34" s="90" t="s">
        <v>29</v>
      </c>
      <c r="J34" s="198">
        <f>SUM(J28:J33)</f>
        <v>86.25</v>
      </c>
      <c r="K34" s="197"/>
      <c r="N34" s="120"/>
    </row>
    <row r="35" spans="1:14" ht="8.25" customHeight="1">
      <c r="B35" s="65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120"/>
    </row>
    <row r="36" spans="1:14" ht="14.25" customHeight="1">
      <c r="B36" s="65"/>
      <c r="C36" s="61" t="s">
        <v>43</v>
      </c>
      <c r="D36" s="49" t="s">
        <v>31</v>
      </c>
      <c r="E36" s="49"/>
      <c r="F36" s="49"/>
      <c r="G36" s="47"/>
      <c r="H36" s="47"/>
      <c r="I36" s="47"/>
      <c r="J36" s="47"/>
      <c r="K36" s="47"/>
      <c r="L36" s="47"/>
      <c r="M36" s="47"/>
      <c r="N36" s="120"/>
    </row>
    <row r="37" spans="1:14" ht="14.25" customHeight="1">
      <c r="B37" s="65"/>
      <c r="C37" s="47"/>
      <c r="D37" s="47"/>
      <c r="E37" s="98">
        <f>J34</f>
        <v>86.25</v>
      </c>
      <c r="F37" s="87" t="s">
        <v>32</v>
      </c>
      <c r="G37" s="88">
        <v>0.2</v>
      </c>
      <c r="H37" s="125" t="s">
        <v>33</v>
      </c>
      <c r="I37" s="110">
        <f>G37*E37</f>
        <v>17.25</v>
      </c>
      <c r="L37" s="47"/>
      <c r="M37" s="47"/>
      <c r="N37" s="120"/>
    </row>
    <row r="38" spans="1:14" ht="9.75" customHeight="1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121"/>
    </row>
    <row r="39" spans="1:14" ht="5.25" customHeight="1">
      <c r="B39" s="48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112"/>
    </row>
    <row r="40" spans="1:14" ht="14.25" customHeight="1">
      <c r="B40" s="48"/>
      <c r="C40" s="51" t="s">
        <v>44</v>
      </c>
      <c r="D40" s="68"/>
      <c r="E40" s="68"/>
      <c r="F40" s="68"/>
      <c r="G40" s="68"/>
      <c r="H40" s="68"/>
      <c r="I40" s="68"/>
      <c r="J40" s="68"/>
      <c r="K40" s="68"/>
      <c r="L40" s="68"/>
      <c r="M40" s="47"/>
      <c r="N40" s="112"/>
    </row>
    <row r="41" spans="1:14" s="17" customFormat="1" ht="24.6" customHeight="1">
      <c r="B41" s="69"/>
      <c r="C41" s="70" t="s">
        <v>45</v>
      </c>
      <c r="D41" s="71"/>
      <c r="E41" s="71"/>
      <c r="F41" s="71"/>
      <c r="G41" s="71"/>
      <c r="H41" s="99">
        <f>I23</f>
        <v>144</v>
      </c>
      <c r="I41" s="126" t="s">
        <v>46</v>
      </c>
      <c r="J41" s="99">
        <f>I37</f>
        <v>17.25</v>
      </c>
      <c r="K41" s="126" t="s">
        <v>33</v>
      </c>
      <c r="L41" s="99">
        <f>H41+J41</f>
        <v>161.25</v>
      </c>
      <c r="M41" s="55"/>
      <c r="N41" s="122"/>
    </row>
    <row r="42" spans="1:14" ht="14.25" customHeight="1">
      <c r="B42" s="48"/>
      <c r="C42" s="51"/>
      <c r="D42" s="68"/>
      <c r="E42" s="68"/>
      <c r="F42" s="68"/>
      <c r="G42" s="68"/>
      <c r="H42" s="100"/>
      <c r="I42" s="111"/>
      <c r="J42" s="100"/>
      <c r="K42" s="111"/>
      <c r="L42" s="100"/>
      <c r="M42" s="47"/>
      <c r="N42" s="112"/>
    </row>
    <row r="43" spans="1:14" ht="14.25" customHeight="1">
      <c r="B43" s="48"/>
      <c r="C43" s="47" t="s">
        <v>47</v>
      </c>
      <c r="D43" s="47"/>
      <c r="F43" s="47"/>
      <c r="G43" s="73" t="s">
        <v>48</v>
      </c>
      <c r="H43" s="47"/>
      <c r="I43" s="47"/>
      <c r="J43" s="47"/>
      <c r="K43" s="47"/>
      <c r="L43" s="47"/>
      <c r="M43" s="47"/>
      <c r="N43" s="112"/>
    </row>
    <row r="44" spans="1:14" ht="14.25" customHeight="1">
      <c r="B44" s="48"/>
      <c r="C44" s="47"/>
      <c r="D44" s="47"/>
      <c r="F44" s="47"/>
      <c r="G44" s="47"/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47"/>
      <c r="D47" s="47"/>
      <c r="F47" s="47"/>
      <c r="G47" s="47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72"/>
      <c r="D48" s="72"/>
      <c r="F48" s="47"/>
      <c r="G48" s="72"/>
      <c r="H48" s="47"/>
      <c r="I48" s="47"/>
      <c r="J48" s="47"/>
      <c r="K48" s="47"/>
      <c r="L48" s="47"/>
      <c r="M48" s="47"/>
      <c r="N48" s="112"/>
    </row>
    <row r="49" spans="2:14" ht="14.25" customHeight="1">
      <c r="B49" s="48"/>
      <c r="C49" s="73" t="s">
        <v>49</v>
      </c>
      <c r="D49" s="47"/>
      <c r="F49" s="47"/>
      <c r="G49" s="47" t="s">
        <v>50</v>
      </c>
      <c r="H49" s="47"/>
      <c r="I49" s="47"/>
      <c r="J49" s="47"/>
      <c r="K49" s="47"/>
      <c r="L49" s="47"/>
      <c r="M49" s="47"/>
      <c r="N49" s="112"/>
    </row>
    <row r="50" spans="2:14" ht="12.75" customHeight="1">
      <c r="B50" s="74"/>
      <c r="C50" s="75" t="s">
        <v>51</v>
      </c>
      <c r="D50" s="76"/>
      <c r="E50" s="76"/>
      <c r="F50" s="76"/>
      <c r="G50" s="76" t="s">
        <v>52</v>
      </c>
      <c r="H50" s="76"/>
      <c r="I50" s="76"/>
      <c r="J50" s="76"/>
      <c r="K50" s="76"/>
      <c r="L50" s="76"/>
      <c r="M50" s="76"/>
      <c r="N50" s="123"/>
    </row>
    <row r="51" spans="2:14" ht="14.25" hidden="1" customHeight="1">
      <c r="B51" s="74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123"/>
    </row>
    <row r="52" spans="2:14" ht="14.25" customHeight="1"/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</sheetData>
  <mergeCells count="26">
    <mergeCell ref="E15:G15"/>
    <mergeCell ref="C16:D16"/>
    <mergeCell ref="E16:G16"/>
    <mergeCell ref="C17:D17"/>
    <mergeCell ref="E17:G17"/>
    <mergeCell ref="C18:D18"/>
    <mergeCell ref="E18:G18"/>
    <mergeCell ref="C19:D19"/>
    <mergeCell ref="C20:G20"/>
    <mergeCell ref="F27:G27"/>
    <mergeCell ref="F33:G33"/>
    <mergeCell ref="J33:K33"/>
    <mergeCell ref="E34:G34"/>
    <mergeCell ref="J34:K34"/>
    <mergeCell ref="N2:N5"/>
    <mergeCell ref="B2:M5"/>
    <mergeCell ref="F30:G30"/>
    <mergeCell ref="J30:K30"/>
    <mergeCell ref="F31:G31"/>
    <mergeCell ref="J31:K31"/>
    <mergeCell ref="J32:K32"/>
    <mergeCell ref="J27:K27"/>
    <mergeCell ref="F28:G28"/>
    <mergeCell ref="J28:K28"/>
    <mergeCell ref="F29:G29"/>
    <mergeCell ref="J29:K29"/>
  </mergeCells>
  <pageMargins left="0.25" right="0.25" top="4.1666666666666699E-2" bottom="0.133333333333333" header="0" footer="0"/>
  <pageSetup paperSize="9" scale="8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5018677-10CC-4B4C-8C4C-576C5E9A3881}">
          <x14:formula1>
            <xm:f>Sheet2!$B$2:$B$3</xm:f>
          </x14:formula1>
          <xm:sqref>I16:I19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8"/>
  <sheetViews>
    <sheetView showGridLines="0" zoomScale="95" zoomScaleNormal="95" workbookViewId="0">
      <selection activeCell="E11" sqref="E11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63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8" t="s">
        <v>64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9"/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194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>
      <c r="B15" s="52" t="s">
        <v>13</v>
      </c>
      <c r="C15" s="53" t="s">
        <v>14</v>
      </c>
      <c r="D15" s="54"/>
      <c r="E15" s="229" t="s">
        <v>15</v>
      </c>
      <c r="F15" s="230"/>
      <c r="G15" s="231"/>
      <c r="H15" s="80" t="s">
        <v>16</v>
      </c>
      <c r="I15" s="80" t="s">
        <v>17</v>
      </c>
      <c r="J15" s="80" t="s">
        <v>18</v>
      </c>
      <c r="K15" s="80" t="s">
        <v>19</v>
      </c>
      <c r="L15" s="80" t="s">
        <v>20</v>
      </c>
      <c r="M15" s="113" t="s">
        <v>19</v>
      </c>
      <c r="N15" s="54" t="s">
        <v>21</v>
      </c>
    </row>
    <row r="16" spans="1:15" ht="31.9" customHeight="1">
      <c r="A16" s="55"/>
      <c r="B16" s="56">
        <v>1</v>
      </c>
      <c r="C16" s="248" t="s">
        <v>65</v>
      </c>
      <c r="D16" s="233"/>
      <c r="E16" s="234" t="s">
        <v>66</v>
      </c>
      <c r="F16" s="235"/>
      <c r="G16" s="236"/>
      <c r="H16" s="81">
        <v>0.5</v>
      </c>
      <c r="I16" s="81" t="s">
        <v>26</v>
      </c>
      <c r="J16" s="101">
        <v>1</v>
      </c>
      <c r="K16" s="102" t="s">
        <v>67</v>
      </c>
      <c r="L16" s="101">
        <v>1</v>
      </c>
      <c r="M16" s="114" t="str">
        <f t="shared" ref="M16:M18" si="0">K16</f>
        <v>lead</v>
      </c>
      <c r="N16" s="115">
        <f t="shared" ref="N16:N19" si="1">IF(I16="Maximize",L16/J16*100*H16,IF(I16="Minimize",J16/L16*100*H16))</f>
        <v>50</v>
      </c>
      <c r="O16" s="55"/>
    </row>
    <row r="17" spans="1:15" ht="31.9" customHeight="1">
      <c r="A17" s="55"/>
      <c r="B17" s="57">
        <v>2</v>
      </c>
      <c r="C17" s="237" t="s">
        <v>68</v>
      </c>
      <c r="D17" s="238"/>
      <c r="E17" s="239" t="s">
        <v>69</v>
      </c>
      <c r="F17" s="239"/>
      <c r="G17" s="220"/>
      <c r="H17" s="82">
        <v>0.2</v>
      </c>
      <c r="I17" s="82" t="s">
        <v>26</v>
      </c>
      <c r="J17" s="103">
        <v>1</v>
      </c>
      <c r="K17" s="94" t="s">
        <v>70</v>
      </c>
      <c r="L17" s="103">
        <v>1</v>
      </c>
      <c r="M17" s="94" t="str">
        <f t="shared" si="0"/>
        <v>kali</v>
      </c>
      <c r="N17" s="116">
        <f t="shared" si="1"/>
        <v>20</v>
      </c>
      <c r="O17" s="55"/>
    </row>
    <row r="18" spans="1:15" ht="31.9" customHeight="1">
      <c r="A18" s="55"/>
      <c r="B18" s="58">
        <v>3</v>
      </c>
      <c r="C18" s="250" t="s">
        <v>159</v>
      </c>
      <c r="D18" s="251"/>
      <c r="E18" s="221" t="s">
        <v>161</v>
      </c>
      <c r="F18" s="222"/>
      <c r="G18" s="223"/>
      <c r="H18" s="82">
        <v>0.1</v>
      </c>
      <c r="I18" s="82" t="s">
        <v>26</v>
      </c>
      <c r="J18" s="103">
        <v>1</v>
      </c>
      <c r="K18" s="94" t="s">
        <v>160</v>
      </c>
      <c r="L18" s="103">
        <v>1</v>
      </c>
      <c r="M18" s="94" t="str">
        <f t="shared" si="0"/>
        <v>Kalo</v>
      </c>
      <c r="N18" s="116">
        <f t="shared" si="1"/>
        <v>10</v>
      </c>
      <c r="O18" s="55"/>
    </row>
    <row r="19" spans="1:15" s="17" customFormat="1" ht="31.9" customHeight="1" thickBot="1">
      <c r="B19" s="59">
        <v>4</v>
      </c>
      <c r="C19" s="252" t="s">
        <v>162</v>
      </c>
      <c r="D19" s="225"/>
      <c r="E19" s="253" t="s">
        <v>163</v>
      </c>
      <c r="F19" s="254"/>
      <c r="G19" s="255"/>
      <c r="H19" s="84">
        <v>0.2</v>
      </c>
      <c r="I19" s="104" t="s">
        <v>26</v>
      </c>
      <c r="J19" s="105">
        <v>1</v>
      </c>
      <c r="K19" s="104" t="s">
        <v>25</v>
      </c>
      <c r="L19" s="106">
        <v>1</v>
      </c>
      <c r="M19" s="124" t="s">
        <v>62</v>
      </c>
      <c r="N19" s="116">
        <f t="shared" si="1"/>
        <v>20</v>
      </c>
    </row>
    <row r="20" spans="1:15" ht="14.25" customHeight="1" thickBot="1">
      <c r="A20" s="55"/>
      <c r="B20" s="60"/>
      <c r="C20" s="226" t="s">
        <v>28</v>
      </c>
      <c r="D20" s="227"/>
      <c r="E20" s="227"/>
      <c r="F20" s="227"/>
      <c r="G20" s="228"/>
      <c r="H20" s="85">
        <f>SUM(H16:H19)</f>
        <v>1</v>
      </c>
      <c r="I20" s="107"/>
      <c r="J20" s="55"/>
      <c r="K20" s="55"/>
      <c r="L20" s="55"/>
      <c r="M20" s="117" t="s">
        <v>29</v>
      </c>
      <c r="N20" s="118">
        <f>SUM(N16:N19)</f>
        <v>100</v>
      </c>
      <c r="O20" s="55"/>
    </row>
    <row r="21" spans="1:15" ht="6" customHeight="1">
      <c r="B21" s="48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112"/>
    </row>
    <row r="22" spans="1:15" ht="14.25" customHeight="1">
      <c r="B22" s="48"/>
      <c r="C22" s="61" t="s">
        <v>30</v>
      </c>
      <c r="D22" s="49" t="s">
        <v>31</v>
      </c>
      <c r="E22" s="49"/>
      <c r="F22" s="49"/>
      <c r="G22" s="47"/>
      <c r="H22" s="47"/>
      <c r="I22" s="47"/>
      <c r="J22" s="47"/>
      <c r="K22" s="47"/>
      <c r="L22" s="47"/>
      <c r="M22" s="47"/>
      <c r="N22" s="112"/>
    </row>
    <row r="23" spans="1:15" ht="14.25" customHeight="1">
      <c r="B23" s="48"/>
      <c r="C23" s="47"/>
      <c r="D23" s="47"/>
      <c r="E23" s="86">
        <f>N20</f>
        <v>100</v>
      </c>
      <c r="F23" s="87" t="s">
        <v>32</v>
      </c>
      <c r="G23" s="88">
        <v>0.8</v>
      </c>
      <c r="H23" s="125" t="s">
        <v>33</v>
      </c>
      <c r="I23" s="108">
        <f>G23*E23</f>
        <v>80</v>
      </c>
      <c r="L23" s="47"/>
      <c r="M23" s="47"/>
      <c r="N23" s="112"/>
    </row>
    <row r="24" spans="1:15" ht="4.5" customHeight="1">
      <c r="B24" s="48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112"/>
    </row>
    <row r="25" spans="1:15" ht="20.45" customHeight="1">
      <c r="B25" s="62" t="s">
        <v>34</v>
      </c>
      <c r="C25" s="63"/>
      <c r="D25" s="64"/>
      <c r="E25" s="21"/>
      <c r="F25" s="64"/>
      <c r="G25" s="89"/>
      <c r="H25" s="64"/>
      <c r="I25" s="64"/>
      <c r="J25" s="64"/>
      <c r="K25" s="64"/>
      <c r="L25" s="64"/>
      <c r="M25" s="64"/>
      <c r="N25" s="119"/>
    </row>
    <row r="26" spans="1:15" ht="6" customHeight="1">
      <c r="B26" s="65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120"/>
    </row>
    <row r="27" spans="1:15" ht="14.25" customHeight="1">
      <c r="B27" s="65"/>
      <c r="E27" s="90" t="s">
        <v>13</v>
      </c>
      <c r="F27" s="215" t="s">
        <v>35</v>
      </c>
      <c r="G27" s="197"/>
      <c r="H27" s="91" t="s">
        <v>16</v>
      </c>
      <c r="I27" s="109" t="s">
        <v>36</v>
      </c>
      <c r="J27" s="215" t="s">
        <v>37</v>
      </c>
      <c r="K27" s="197"/>
      <c r="N27" s="120"/>
    </row>
    <row r="28" spans="1:15" ht="14.25" customHeight="1">
      <c r="A28" s="55"/>
      <c r="B28" s="65"/>
      <c r="E28" s="92">
        <v>1</v>
      </c>
      <c r="F28" s="216" t="s">
        <v>38</v>
      </c>
      <c r="G28" s="217"/>
      <c r="H28" s="93">
        <v>0.25</v>
      </c>
      <c r="I28" s="92">
        <v>80</v>
      </c>
      <c r="J28" s="218">
        <f t="shared" ref="J28:J31" si="2">H28*I28</f>
        <v>20</v>
      </c>
      <c r="K28" s="217"/>
      <c r="N28" s="120"/>
    </row>
    <row r="29" spans="1:15" ht="14.25" customHeight="1">
      <c r="A29" s="55"/>
      <c r="B29" s="65"/>
      <c r="E29" s="94">
        <v>2</v>
      </c>
      <c r="F29" s="214" t="s">
        <v>39</v>
      </c>
      <c r="G29" s="212"/>
      <c r="H29" s="82">
        <v>0.25</v>
      </c>
      <c r="I29" s="94">
        <v>90</v>
      </c>
      <c r="J29" s="213">
        <f t="shared" si="2"/>
        <v>22.5</v>
      </c>
      <c r="K29" s="212"/>
      <c r="N29" s="120"/>
    </row>
    <row r="30" spans="1:15" ht="14.25" customHeight="1">
      <c r="B30" s="65"/>
      <c r="E30" s="94">
        <v>3</v>
      </c>
      <c r="F30" s="211" t="s">
        <v>40</v>
      </c>
      <c r="G30" s="212"/>
      <c r="H30" s="82">
        <v>0.25</v>
      </c>
      <c r="I30" s="94">
        <v>90</v>
      </c>
      <c r="J30" s="213">
        <f t="shared" si="2"/>
        <v>22.5</v>
      </c>
      <c r="K30" s="212"/>
      <c r="N30" s="120"/>
    </row>
    <row r="31" spans="1:15" ht="14.25" customHeight="1">
      <c r="A31" s="55"/>
      <c r="B31" s="65"/>
      <c r="E31" s="94">
        <v>4</v>
      </c>
      <c r="F31" s="214" t="s">
        <v>41</v>
      </c>
      <c r="G31" s="212"/>
      <c r="H31" s="82">
        <v>0.25</v>
      </c>
      <c r="I31" s="94">
        <v>85</v>
      </c>
      <c r="J31" s="213">
        <f t="shared" si="2"/>
        <v>21.25</v>
      </c>
      <c r="K31" s="212"/>
      <c r="N31" s="120"/>
    </row>
    <row r="32" spans="1:15" ht="14.25" customHeight="1">
      <c r="A32" s="55"/>
      <c r="B32" s="65"/>
      <c r="E32" s="94"/>
      <c r="F32" s="95"/>
      <c r="G32" s="96"/>
      <c r="H32" s="82"/>
      <c r="I32" s="94"/>
      <c r="J32" s="213"/>
      <c r="K32" s="212"/>
      <c r="N32" s="120"/>
    </row>
    <row r="33" spans="1:14" ht="14.25" customHeight="1">
      <c r="B33" s="65"/>
      <c r="E33" s="94"/>
      <c r="F33" s="191"/>
      <c r="G33" s="192"/>
      <c r="H33" s="82"/>
      <c r="I33" s="94"/>
      <c r="J33" s="193"/>
      <c r="K33" s="194"/>
      <c r="N33" s="120"/>
    </row>
    <row r="34" spans="1:14" ht="14.25" customHeight="1">
      <c r="A34" s="55"/>
      <c r="B34" s="65"/>
      <c r="E34" s="195" t="s">
        <v>42</v>
      </c>
      <c r="F34" s="196"/>
      <c r="G34" s="197"/>
      <c r="H34" s="97">
        <f>SUM(H28:H33)</f>
        <v>1</v>
      </c>
      <c r="I34" s="90" t="s">
        <v>29</v>
      </c>
      <c r="J34" s="198">
        <f>SUM(J28:J33)</f>
        <v>86.25</v>
      </c>
      <c r="K34" s="197"/>
      <c r="N34" s="120"/>
    </row>
    <row r="35" spans="1:14" ht="8.25" customHeight="1">
      <c r="B35" s="65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120"/>
    </row>
    <row r="36" spans="1:14" ht="14.25" customHeight="1">
      <c r="B36" s="65"/>
      <c r="C36" s="61" t="s">
        <v>43</v>
      </c>
      <c r="D36" s="49" t="s">
        <v>31</v>
      </c>
      <c r="E36" s="49"/>
      <c r="F36" s="49"/>
      <c r="G36" s="47"/>
      <c r="H36" s="47"/>
      <c r="I36" s="47"/>
      <c r="J36" s="47"/>
      <c r="K36" s="47"/>
      <c r="L36" s="47"/>
      <c r="M36" s="47"/>
      <c r="N36" s="120"/>
    </row>
    <row r="37" spans="1:14" ht="14.25" customHeight="1">
      <c r="B37" s="65"/>
      <c r="C37" s="47"/>
      <c r="D37" s="47"/>
      <c r="E37" s="98">
        <f>J34</f>
        <v>86.25</v>
      </c>
      <c r="F37" s="87" t="s">
        <v>32</v>
      </c>
      <c r="G37" s="88">
        <v>0.2</v>
      </c>
      <c r="H37" s="125" t="s">
        <v>33</v>
      </c>
      <c r="I37" s="110">
        <f>G37*E37</f>
        <v>17.25</v>
      </c>
      <c r="L37" s="47"/>
      <c r="M37" s="47"/>
      <c r="N37" s="120"/>
    </row>
    <row r="38" spans="1:14" ht="9.75" customHeight="1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121"/>
    </row>
    <row r="39" spans="1:14" ht="5.25" customHeight="1">
      <c r="B39" s="48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112"/>
    </row>
    <row r="40" spans="1:14" ht="14.25" customHeight="1">
      <c r="B40" s="48"/>
      <c r="C40" s="51" t="s">
        <v>44</v>
      </c>
      <c r="D40" s="68"/>
      <c r="E40" s="68"/>
      <c r="F40" s="68"/>
      <c r="G40" s="68"/>
      <c r="H40" s="68"/>
      <c r="I40" s="68"/>
      <c r="J40" s="68"/>
      <c r="K40" s="68"/>
      <c r="L40" s="68"/>
      <c r="M40" s="47"/>
      <c r="N40" s="112"/>
    </row>
    <row r="41" spans="1:14" s="17" customFormat="1" ht="24.6" customHeight="1">
      <c r="B41" s="69"/>
      <c r="C41" s="70" t="s">
        <v>45</v>
      </c>
      <c r="D41" s="71"/>
      <c r="E41" s="71"/>
      <c r="F41" s="71"/>
      <c r="G41" s="71"/>
      <c r="H41" s="99">
        <f>I23</f>
        <v>80</v>
      </c>
      <c r="I41" s="126" t="s">
        <v>46</v>
      </c>
      <c r="J41" s="99">
        <f>I37</f>
        <v>17.25</v>
      </c>
      <c r="K41" s="126" t="s">
        <v>33</v>
      </c>
      <c r="L41" s="99">
        <f>H41+J41</f>
        <v>97.25</v>
      </c>
      <c r="M41" s="55"/>
      <c r="N41" s="122"/>
    </row>
    <row r="42" spans="1:14" ht="14.25" customHeight="1">
      <c r="B42" s="48"/>
      <c r="C42" s="51"/>
      <c r="D42" s="68"/>
      <c r="E42" s="68"/>
      <c r="F42" s="68"/>
      <c r="G42" s="68"/>
      <c r="H42" s="100"/>
      <c r="I42" s="111"/>
      <c r="J42" s="100"/>
      <c r="K42" s="111"/>
      <c r="L42" s="100"/>
      <c r="M42" s="47"/>
      <c r="N42" s="112"/>
    </row>
    <row r="43" spans="1:14" ht="14.25" customHeight="1">
      <c r="B43" s="48"/>
      <c r="C43" s="47" t="s">
        <v>47</v>
      </c>
      <c r="D43" s="47"/>
      <c r="F43" s="47"/>
      <c r="G43" s="73" t="s">
        <v>48</v>
      </c>
      <c r="H43" s="47"/>
      <c r="I43" s="47"/>
      <c r="J43" s="47"/>
      <c r="K43" s="47"/>
      <c r="L43" s="47"/>
      <c r="M43" s="47"/>
      <c r="N43" s="112"/>
    </row>
    <row r="44" spans="1:14" ht="14.25" customHeight="1">
      <c r="B44" s="48"/>
      <c r="C44" s="47"/>
      <c r="D44" s="47"/>
      <c r="F44" s="47"/>
      <c r="G44" s="47"/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47"/>
      <c r="D47" s="47"/>
      <c r="F47" s="47"/>
      <c r="G47" s="47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72"/>
      <c r="D48" s="72"/>
      <c r="F48" s="47"/>
      <c r="G48" s="72"/>
      <c r="H48" s="47"/>
      <c r="I48" s="47"/>
      <c r="J48" s="47"/>
      <c r="K48" s="47"/>
      <c r="L48" s="47"/>
      <c r="M48" s="47"/>
      <c r="N48" s="112"/>
    </row>
    <row r="49" spans="2:14" ht="14.25" customHeight="1">
      <c r="B49" s="48"/>
      <c r="C49" s="73" t="s">
        <v>49</v>
      </c>
      <c r="D49" s="47"/>
      <c r="F49" s="47"/>
      <c r="G49" s="47" t="s">
        <v>50</v>
      </c>
      <c r="H49" s="47"/>
      <c r="I49" s="47"/>
      <c r="J49" s="47"/>
      <c r="K49" s="47"/>
      <c r="L49" s="47"/>
      <c r="M49" s="47"/>
      <c r="N49" s="112"/>
    </row>
    <row r="50" spans="2:14" ht="12.75" customHeight="1" thickBot="1">
      <c r="B50" s="74"/>
      <c r="C50" s="75" t="s">
        <v>51</v>
      </c>
      <c r="D50" s="76"/>
      <c r="E50" s="76"/>
      <c r="F50" s="76"/>
      <c r="G50" s="76" t="s">
        <v>52</v>
      </c>
      <c r="H50" s="76"/>
      <c r="I50" s="76"/>
      <c r="J50" s="76"/>
      <c r="K50" s="76"/>
      <c r="L50" s="76"/>
      <c r="M50" s="76"/>
      <c r="N50" s="123"/>
    </row>
    <row r="51" spans="2:14" ht="14.25" hidden="1" customHeight="1">
      <c r="B51" s="74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123"/>
    </row>
    <row r="52" spans="2:14" ht="14.25" customHeight="1"/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</sheetData>
  <mergeCells count="27">
    <mergeCell ref="E15:G15"/>
    <mergeCell ref="C16:D16"/>
    <mergeCell ref="E16:G16"/>
    <mergeCell ref="C17:D17"/>
    <mergeCell ref="E17:G17"/>
    <mergeCell ref="C18:D18"/>
    <mergeCell ref="E18:G18"/>
    <mergeCell ref="C19:D19"/>
    <mergeCell ref="C20:G20"/>
    <mergeCell ref="F27:G27"/>
    <mergeCell ref="E19:G19"/>
    <mergeCell ref="F33:G33"/>
    <mergeCell ref="J33:K33"/>
    <mergeCell ref="E34:G34"/>
    <mergeCell ref="J34:K34"/>
    <mergeCell ref="N2:N5"/>
    <mergeCell ref="B2:M5"/>
    <mergeCell ref="F30:G30"/>
    <mergeCell ref="J30:K30"/>
    <mergeCell ref="F31:G31"/>
    <mergeCell ref="J31:K31"/>
    <mergeCell ref="J32:K32"/>
    <mergeCell ref="J27:K27"/>
    <mergeCell ref="F28:G28"/>
    <mergeCell ref="J28:K28"/>
    <mergeCell ref="F29:G29"/>
    <mergeCell ref="J29:K29"/>
  </mergeCells>
  <pageMargins left="0.25" right="0.25" top="4.1666666666666699E-2" bottom="0.133333333333333" header="0" footer="0"/>
  <pageSetup paperSize="9" scale="8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84AB4AC4-6EC1-4051-A587-B294F0EB07A7}">
          <x14:formula1>
            <xm:f>Sheet2!$B$2:$B$3</xm:f>
          </x14:formula1>
          <xm:sqref>I16:I19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O89"/>
  <sheetViews>
    <sheetView showGridLines="0" topLeftCell="G28" zoomScale="85" zoomScaleNormal="85" workbookViewId="0">
      <selection activeCell="K17" sqref="K17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71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8" t="s">
        <v>72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9" t="s">
        <v>166</v>
      </c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194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 thickBo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 thickBot="1">
      <c r="B15" s="150" t="s">
        <v>13</v>
      </c>
      <c r="C15" s="151" t="s">
        <v>14</v>
      </c>
      <c r="D15" s="152"/>
      <c r="E15" s="245" t="s">
        <v>15</v>
      </c>
      <c r="F15" s="246"/>
      <c r="G15" s="247"/>
      <c r="H15" s="153" t="s">
        <v>16</v>
      </c>
      <c r="I15" s="153" t="s">
        <v>17</v>
      </c>
      <c r="J15" s="153" t="s">
        <v>18</v>
      </c>
      <c r="K15" s="153" t="s">
        <v>19</v>
      </c>
      <c r="L15" s="153" t="s">
        <v>20</v>
      </c>
      <c r="M15" s="154" t="s">
        <v>19</v>
      </c>
      <c r="N15" s="155" t="s">
        <v>21</v>
      </c>
    </row>
    <row r="16" spans="1:15" ht="46.15" customHeight="1">
      <c r="A16" s="55"/>
      <c r="B16" s="56">
        <v>1</v>
      </c>
      <c r="C16" s="232" t="s">
        <v>169</v>
      </c>
      <c r="D16" s="233"/>
      <c r="E16" s="256" t="s">
        <v>175</v>
      </c>
      <c r="F16" s="256"/>
      <c r="G16" s="256"/>
      <c r="H16" s="170">
        <v>0.4</v>
      </c>
      <c r="I16" s="81" t="s">
        <v>26</v>
      </c>
      <c r="J16" s="101">
        <v>95</v>
      </c>
      <c r="K16" s="102" t="s">
        <v>25</v>
      </c>
      <c r="L16" s="171">
        <v>113</v>
      </c>
      <c r="M16" s="168" t="str">
        <f t="shared" ref="M16:M20" si="0">K16</f>
        <v>%</v>
      </c>
      <c r="N16" s="165">
        <f t="shared" ref="N16:N20" si="1">IF(I16="Maximize",L16/J16*100*H16,IF(I16="Minimize",J16/L16*100*H16))</f>
        <v>47.578947368421055</v>
      </c>
      <c r="O16" s="55"/>
    </row>
    <row r="17" spans="1:15" ht="46.15" customHeight="1">
      <c r="A17" s="55"/>
      <c r="B17" s="57">
        <v>2</v>
      </c>
      <c r="C17" s="237" t="s">
        <v>170</v>
      </c>
      <c r="D17" s="238"/>
      <c r="E17" s="257" t="s">
        <v>171</v>
      </c>
      <c r="F17" s="258"/>
      <c r="G17" s="258"/>
      <c r="H17" s="172">
        <v>0.3</v>
      </c>
      <c r="I17" s="162" t="s">
        <v>26</v>
      </c>
      <c r="J17" s="163">
        <v>95</v>
      </c>
      <c r="K17" s="164" t="s">
        <v>25</v>
      </c>
      <c r="L17" s="173">
        <v>100</v>
      </c>
      <c r="M17" s="169" t="str">
        <f t="shared" si="0"/>
        <v>%</v>
      </c>
      <c r="N17" s="116">
        <f t="shared" si="1"/>
        <v>31.578947368421048</v>
      </c>
      <c r="O17" s="55"/>
    </row>
    <row r="18" spans="1:15" ht="46.15" customHeight="1">
      <c r="A18" s="55"/>
      <c r="B18" s="57">
        <v>3</v>
      </c>
      <c r="C18" s="237" t="s">
        <v>172</v>
      </c>
      <c r="D18" s="238"/>
      <c r="E18" s="257" t="s">
        <v>177</v>
      </c>
      <c r="F18" s="258"/>
      <c r="G18" s="258"/>
      <c r="H18" s="172">
        <v>0.2</v>
      </c>
      <c r="I18" s="162" t="s">
        <v>26</v>
      </c>
      <c r="J18" s="163">
        <v>100</v>
      </c>
      <c r="K18" s="164" t="s">
        <v>25</v>
      </c>
      <c r="L18" s="186">
        <v>100</v>
      </c>
      <c r="M18" s="169" t="str">
        <f t="shared" si="0"/>
        <v>%</v>
      </c>
      <c r="N18" s="116">
        <f t="shared" si="1"/>
        <v>20</v>
      </c>
      <c r="O18" s="55"/>
    </row>
    <row r="19" spans="1:15" ht="58.9" customHeight="1">
      <c r="A19" s="55"/>
      <c r="B19" s="57">
        <v>4</v>
      </c>
      <c r="C19" s="237" t="s">
        <v>173</v>
      </c>
      <c r="D19" s="238"/>
      <c r="E19" s="219" t="s">
        <v>178</v>
      </c>
      <c r="F19" s="259"/>
      <c r="G19" s="259"/>
      <c r="H19" s="172">
        <v>0.05</v>
      </c>
      <c r="I19" s="162" t="s">
        <v>26</v>
      </c>
      <c r="J19" s="163">
        <v>100</v>
      </c>
      <c r="K19" s="164" t="s">
        <v>25</v>
      </c>
      <c r="L19" s="173">
        <v>100</v>
      </c>
      <c r="M19" s="169" t="str">
        <f t="shared" si="0"/>
        <v>%</v>
      </c>
      <c r="N19" s="116">
        <f t="shared" si="1"/>
        <v>5</v>
      </c>
      <c r="O19" s="55"/>
    </row>
    <row r="20" spans="1:15" ht="36.6" customHeight="1" thickBot="1">
      <c r="A20" s="55"/>
      <c r="B20" s="156">
        <v>5</v>
      </c>
      <c r="C20" s="242" t="s">
        <v>174</v>
      </c>
      <c r="D20" s="241"/>
      <c r="E20" s="260" t="s">
        <v>176</v>
      </c>
      <c r="F20" s="261"/>
      <c r="G20" s="261"/>
      <c r="H20" s="174">
        <v>0.05</v>
      </c>
      <c r="I20" s="84" t="s">
        <v>26</v>
      </c>
      <c r="J20" s="166">
        <v>100</v>
      </c>
      <c r="K20" s="167" t="s">
        <v>25</v>
      </c>
      <c r="L20" s="187">
        <v>100</v>
      </c>
      <c r="M20" s="124" t="str">
        <f t="shared" si="0"/>
        <v>%</v>
      </c>
      <c r="N20" s="159">
        <f t="shared" si="1"/>
        <v>5</v>
      </c>
      <c r="O20" s="55"/>
    </row>
    <row r="21" spans="1:15" ht="22.15" customHeight="1" thickBot="1">
      <c r="A21" s="55"/>
      <c r="B21" s="60"/>
      <c r="C21" s="226" t="s">
        <v>28</v>
      </c>
      <c r="D21" s="227"/>
      <c r="E21" s="227"/>
      <c r="F21" s="227"/>
      <c r="G21" s="228"/>
      <c r="H21" s="85">
        <f>SUM(H16:H20)</f>
        <v>1</v>
      </c>
      <c r="I21" s="107"/>
      <c r="J21" s="55"/>
      <c r="K21" s="55"/>
      <c r="L21" s="55"/>
      <c r="M21" s="117" t="s">
        <v>29</v>
      </c>
      <c r="N21" s="118">
        <f>SUM(N16:N20)</f>
        <v>109.15789473684211</v>
      </c>
      <c r="O21" s="55"/>
    </row>
    <row r="22" spans="1:15" ht="6" customHeight="1">
      <c r="B22" s="48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112"/>
    </row>
    <row r="23" spans="1:15" ht="14.25" customHeight="1">
      <c r="B23" s="48"/>
      <c r="C23" s="61" t="s">
        <v>30</v>
      </c>
      <c r="D23" s="49" t="s">
        <v>31</v>
      </c>
      <c r="E23" s="49"/>
      <c r="F23" s="49"/>
      <c r="G23" s="47"/>
      <c r="H23" s="47"/>
      <c r="I23" s="47"/>
      <c r="J23" s="47"/>
      <c r="K23" s="47"/>
      <c r="L23" s="47"/>
      <c r="M23" s="47"/>
      <c r="N23" s="112"/>
    </row>
    <row r="24" spans="1:15" ht="14.25" customHeight="1">
      <c r="B24" s="48"/>
      <c r="C24" s="47"/>
      <c r="D24" s="47"/>
      <c r="E24" s="86">
        <f>N21</f>
        <v>109.15789473684211</v>
      </c>
      <c r="F24" s="87" t="s">
        <v>32</v>
      </c>
      <c r="G24" s="88">
        <v>0.8</v>
      </c>
      <c r="H24" s="125" t="s">
        <v>33</v>
      </c>
      <c r="I24" s="108">
        <f>G24*E24</f>
        <v>87.326315789473696</v>
      </c>
      <c r="L24" s="47"/>
      <c r="M24" s="47"/>
      <c r="N24" s="112"/>
    </row>
    <row r="25" spans="1:15" ht="4.5" customHeight="1">
      <c r="B25" s="48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112"/>
    </row>
    <row r="26" spans="1:15" ht="20.45" customHeight="1">
      <c r="B26" s="62" t="s">
        <v>34</v>
      </c>
      <c r="C26" s="63"/>
      <c r="D26" s="64"/>
      <c r="E26" s="21"/>
      <c r="F26" s="64"/>
      <c r="G26" s="89"/>
      <c r="H26" s="64"/>
      <c r="I26" s="64"/>
      <c r="J26" s="64"/>
      <c r="K26" s="64"/>
      <c r="L26" s="64"/>
      <c r="M26" s="64"/>
      <c r="N26" s="119"/>
    </row>
    <row r="27" spans="1:15" ht="6" customHeight="1">
      <c r="B27" s="65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120"/>
    </row>
    <row r="28" spans="1:15" ht="14.25" customHeight="1">
      <c r="B28" s="65"/>
      <c r="E28" s="90" t="s">
        <v>13</v>
      </c>
      <c r="F28" s="215" t="s">
        <v>35</v>
      </c>
      <c r="G28" s="197"/>
      <c r="H28" s="91" t="s">
        <v>16</v>
      </c>
      <c r="I28" s="109" t="s">
        <v>36</v>
      </c>
      <c r="J28" s="215" t="s">
        <v>37</v>
      </c>
      <c r="K28" s="197"/>
      <c r="N28" s="120"/>
    </row>
    <row r="29" spans="1:15" ht="14.25" customHeight="1">
      <c r="A29" s="55"/>
      <c r="B29" s="65"/>
      <c r="E29" s="92">
        <v>1</v>
      </c>
      <c r="F29" s="216" t="s">
        <v>38</v>
      </c>
      <c r="G29" s="217"/>
      <c r="H29" s="93">
        <v>0.25</v>
      </c>
      <c r="I29" s="92">
        <v>80</v>
      </c>
      <c r="J29" s="218">
        <f t="shared" ref="J29:J32" si="2">H29*I29</f>
        <v>20</v>
      </c>
      <c r="K29" s="217"/>
      <c r="N29" s="120"/>
    </row>
    <row r="30" spans="1:15" ht="14.25" customHeight="1">
      <c r="A30" s="55"/>
      <c r="B30" s="65"/>
      <c r="E30" s="94">
        <v>2</v>
      </c>
      <c r="F30" s="214" t="s">
        <v>39</v>
      </c>
      <c r="G30" s="212"/>
      <c r="H30" s="82">
        <v>0.25</v>
      </c>
      <c r="I30" s="94">
        <v>80</v>
      </c>
      <c r="J30" s="213">
        <f t="shared" si="2"/>
        <v>20</v>
      </c>
      <c r="K30" s="212"/>
      <c r="N30" s="120"/>
    </row>
    <row r="31" spans="1:15" ht="14.25" customHeight="1">
      <c r="B31" s="65"/>
      <c r="E31" s="94">
        <v>3</v>
      </c>
      <c r="F31" s="211" t="s">
        <v>40</v>
      </c>
      <c r="G31" s="212"/>
      <c r="H31" s="82">
        <v>0.25</v>
      </c>
      <c r="I31" s="94">
        <v>80</v>
      </c>
      <c r="J31" s="213">
        <f t="shared" si="2"/>
        <v>20</v>
      </c>
      <c r="K31" s="212"/>
      <c r="N31" s="120"/>
    </row>
    <row r="32" spans="1:15" ht="14.25" customHeight="1">
      <c r="A32" s="55"/>
      <c r="B32" s="65"/>
      <c r="E32" s="94">
        <v>4</v>
      </c>
      <c r="F32" s="214" t="s">
        <v>41</v>
      </c>
      <c r="G32" s="212"/>
      <c r="H32" s="82">
        <v>0.25</v>
      </c>
      <c r="I32" s="94">
        <v>80</v>
      </c>
      <c r="J32" s="213">
        <f t="shared" si="2"/>
        <v>20</v>
      </c>
      <c r="K32" s="212"/>
      <c r="N32" s="120"/>
    </row>
    <row r="33" spans="1:14" ht="14.25" customHeight="1">
      <c r="A33" s="55"/>
      <c r="B33" s="65"/>
      <c r="E33" s="94"/>
      <c r="F33" s="95"/>
      <c r="G33" s="96"/>
      <c r="H33" s="82"/>
      <c r="I33" s="94"/>
      <c r="J33" s="213"/>
      <c r="K33" s="212"/>
      <c r="N33" s="120"/>
    </row>
    <row r="34" spans="1:14" ht="14.25" customHeight="1">
      <c r="B34" s="65"/>
      <c r="E34" s="94"/>
      <c r="F34" s="191"/>
      <c r="G34" s="192"/>
      <c r="H34" s="82"/>
      <c r="I34" s="94"/>
      <c r="J34" s="193"/>
      <c r="K34" s="194"/>
      <c r="N34" s="120"/>
    </row>
    <row r="35" spans="1:14" ht="14.25" customHeight="1">
      <c r="A35" s="55"/>
      <c r="B35" s="65"/>
      <c r="E35" s="195" t="s">
        <v>42</v>
      </c>
      <c r="F35" s="196"/>
      <c r="G35" s="197"/>
      <c r="H35" s="97">
        <f>SUM(H29:H34)</f>
        <v>1</v>
      </c>
      <c r="I35" s="90" t="s">
        <v>29</v>
      </c>
      <c r="J35" s="198">
        <f>SUM(J29:J34)</f>
        <v>80</v>
      </c>
      <c r="K35" s="197"/>
      <c r="N35" s="120"/>
    </row>
    <row r="36" spans="1:14" ht="8.25" customHeight="1">
      <c r="B36" s="65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120"/>
    </row>
    <row r="37" spans="1:14" ht="14.25" customHeight="1">
      <c r="B37" s="65"/>
      <c r="C37" s="61" t="s">
        <v>43</v>
      </c>
      <c r="D37" s="49" t="s">
        <v>31</v>
      </c>
      <c r="E37" s="49"/>
      <c r="F37" s="49"/>
      <c r="G37" s="47"/>
      <c r="H37" s="47"/>
      <c r="I37" s="47"/>
      <c r="J37" s="47"/>
      <c r="K37" s="47"/>
      <c r="L37" s="47"/>
      <c r="M37" s="47"/>
      <c r="N37" s="120"/>
    </row>
    <row r="38" spans="1:14" ht="14.25" customHeight="1">
      <c r="B38" s="65"/>
      <c r="C38" s="47"/>
      <c r="D38" s="47"/>
      <c r="E38" s="98">
        <f>J35</f>
        <v>80</v>
      </c>
      <c r="F38" s="87" t="s">
        <v>32</v>
      </c>
      <c r="G38" s="88">
        <v>0.2</v>
      </c>
      <c r="H38" s="125" t="s">
        <v>33</v>
      </c>
      <c r="I38" s="110">
        <f>G38*E38</f>
        <v>16</v>
      </c>
      <c r="L38" s="47"/>
      <c r="M38" s="47"/>
      <c r="N38" s="120"/>
    </row>
    <row r="39" spans="1:14" ht="9.75" customHeight="1"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121"/>
    </row>
    <row r="40" spans="1:14" ht="5.25" customHeight="1">
      <c r="B40" s="48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112"/>
    </row>
    <row r="41" spans="1:14" ht="14.25" customHeight="1">
      <c r="B41" s="48"/>
      <c r="C41" s="51" t="s">
        <v>44</v>
      </c>
      <c r="D41" s="68"/>
      <c r="E41" s="68"/>
      <c r="F41" s="68"/>
      <c r="G41" s="68"/>
      <c r="H41" s="68"/>
      <c r="I41" s="68"/>
      <c r="J41" s="68"/>
      <c r="K41" s="68"/>
      <c r="L41" s="68"/>
      <c r="M41" s="47"/>
      <c r="N41" s="112"/>
    </row>
    <row r="42" spans="1:14" s="17" customFormat="1" ht="24.6" customHeight="1">
      <c r="B42" s="69"/>
      <c r="C42" s="70" t="s">
        <v>45</v>
      </c>
      <c r="D42" s="71"/>
      <c r="E42" s="71"/>
      <c r="F42" s="71"/>
      <c r="G42" s="71"/>
      <c r="H42" s="99">
        <f>I24</f>
        <v>87.326315789473696</v>
      </c>
      <c r="I42" s="126" t="s">
        <v>46</v>
      </c>
      <c r="J42" s="99">
        <f>I38</f>
        <v>16</v>
      </c>
      <c r="K42" s="126" t="s">
        <v>33</v>
      </c>
      <c r="L42" s="99">
        <f>H42+J42</f>
        <v>103.3263157894737</v>
      </c>
      <c r="M42" s="55"/>
      <c r="N42" s="122"/>
    </row>
    <row r="43" spans="1:14" ht="14.25" customHeight="1">
      <c r="B43" s="48"/>
      <c r="C43" s="51"/>
      <c r="D43" s="68"/>
      <c r="E43" s="68"/>
      <c r="F43" s="68"/>
      <c r="G43" s="68"/>
      <c r="H43" s="100"/>
      <c r="I43" s="111"/>
      <c r="J43" s="100"/>
      <c r="K43" s="111"/>
      <c r="L43" s="100"/>
      <c r="M43" s="47"/>
      <c r="N43" s="112"/>
    </row>
    <row r="44" spans="1:14" ht="14.25" customHeight="1">
      <c r="B44" s="48"/>
      <c r="C44" s="47" t="s">
        <v>47</v>
      </c>
      <c r="D44" s="47"/>
      <c r="F44" s="47"/>
      <c r="G44" s="73" t="s">
        <v>48</v>
      </c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47"/>
      <c r="D47" s="47"/>
      <c r="F47" s="47"/>
      <c r="G47" s="47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47"/>
      <c r="D48" s="47"/>
      <c r="F48" s="47"/>
      <c r="G48" s="47"/>
      <c r="H48" s="47"/>
      <c r="I48" s="47"/>
      <c r="J48" s="47"/>
      <c r="K48" s="47"/>
      <c r="L48" s="47"/>
      <c r="M48" s="47"/>
      <c r="N48" s="112"/>
    </row>
    <row r="49" spans="2:14" ht="14.25" customHeight="1">
      <c r="B49" s="48"/>
      <c r="C49" s="72"/>
      <c r="D49" s="72"/>
      <c r="F49" s="47"/>
      <c r="G49" s="72"/>
      <c r="H49" s="47"/>
      <c r="I49" s="47"/>
      <c r="J49" s="47"/>
      <c r="K49" s="47"/>
      <c r="L49" s="47"/>
      <c r="M49" s="47"/>
      <c r="N49" s="112"/>
    </row>
    <row r="50" spans="2:14" ht="14.25" customHeight="1">
      <c r="B50" s="48"/>
      <c r="C50" s="73" t="s">
        <v>49</v>
      </c>
      <c r="D50" s="47"/>
      <c r="F50" s="47"/>
      <c r="G50" s="47" t="s">
        <v>50</v>
      </c>
      <c r="H50" s="47"/>
      <c r="I50" s="47"/>
      <c r="J50" s="47"/>
      <c r="K50" s="47"/>
      <c r="L50" s="47"/>
      <c r="M50" s="47"/>
      <c r="N50" s="112"/>
    </row>
    <row r="51" spans="2:14" ht="12.75" customHeight="1" thickBot="1">
      <c r="B51" s="74"/>
      <c r="C51" s="75" t="s">
        <v>51</v>
      </c>
      <c r="D51" s="76"/>
      <c r="E51" s="76"/>
      <c r="F51" s="76"/>
      <c r="G51" s="76" t="s">
        <v>52</v>
      </c>
      <c r="H51" s="76"/>
      <c r="I51" s="76"/>
      <c r="J51" s="76"/>
      <c r="K51" s="76"/>
      <c r="L51" s="76"/>
      <c r="M51" s="76"/>
      <c r="N51" s="123"/>
    </row>
    <row r="52" spans="2:14" ht="14.25" hidden="1" customHeight="1">
      <c r="B52" s="74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123"/>
    </row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</sheetData>
  <mergeCells count="29">
    <mergeCell ref="C21:G21"/>
    <mergeCell ref="F28:G28"/>
    <mergeCell ref="E15:G15"/>
    <mergeCell ref="C16:D16"/>
    <mergeCell ref="E16:G16"/>
    <mergeCell ref="C17:D17"/>
    <mergeCell ref="C18:D18"/>
    <mergeCell ref="C19:D19"/>
    <mergeCell ref="C20:D20"/>
    <mergeCell ref="E17:G17"/>
    <mergeCell ref="E18:G18"/>
    <mergeCell ref="E19:G19"/>
    <mergeCell ref="E20:G20"/>
    <mergeCell ref="F34:G34"/>
    <mergeCell ref="J34:K34"/>
    <mergeCell ref="E35:G35"/>
    <mergeCell ref="J35:K35"/>
    <mergeCell ref="N2:N5"/>
    <mergeCell ref="B2:M5"/>
    <mergeCell ref="F31:G31"/>
    <mergeCell ref="J31:K31"/>
    <mergeCell ref="F32:G32"/>
    <mergeCell ref="J32:K32"/>
    <mergeCell ref="J33:K33"/>
    <mergeCell ref="J28:K28"/>
    <mergeCell ref="F29:G29"/>
    <mergeCell ref="J29:K29"/>
    <mergeCell ref="F30:G30"/>
    <mergeCell ref="J30:K30"/>
  </mergeCells>
  <pageMargins left="0.25" right="0.25" top="4.1666666666666699E-2" bottom="0.133333333333333" header="0" footer="0"/>
  <pageSetup paperSize="9" scale="8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8481654-E7AC-49DE-83AA-4BFE79CC0E2A}">
          <x14:formula1>
            <xm:f>Sheet2!$B$2:$B$3</xm:f>
          </x14:formula1>
          <xm:sqref>I16:I20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O89"/>
  <sheetViews>
    <sheetView showGridLines="0" topLeftCell="G7" zoomScale="85" zoomScaleNormal="85" workbookViewId="0">
      <selection activeCell="K17" sqref="K17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71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8" t="s">
        <v>73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9" t="s">
        <v>167</v>
      </c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194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 thickBo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 thickBot="1">
      <c r="B15" s="150" t="s">
        <v>13</v>
      </c>
      <c r="C15" s="151" t="s">
        <v>14</v>
      </c>
      <c r="D15" s="152"/>
      <c r="E15" s="245" t="s">
        <v>15</v>
      </c>
      <c r="F15" s="246"/>
      <c r="G15" s="247"/>
      <c r="H15" s="153" t="s">
        <v>16</v>
      </c>
      <c r="I15" s="153" t="s">
        <v>17</v>
      </c>
      <c r="J15" s="153" t="s">
        <v>18</v>
      </c>
      <c r="K15" s="153" t="s">
        <v>19</v>
      </c>
      <c r="L15" s="153" t="s">
        <v>20</v>
      </c>
      <c r="M15" s="154" t="s">
        <v>19</v>
      </c>
      <c r="N15" s="155" t="s">
        <v>21</v>
      </c>
    </row>
    <row r="16" spans="1:15" ht="45" customHeight="1">
      <c r="A16" s="55"/>
      <c r="B16" s="56">
        <v>1</v>
      </c>
      <c r="C16" s="232" t="s">
        <v>169</v>
      </c>
      <c r="D16" s="233"/>
      <c r="E16" s="256" t="s">
        <v>175</v>
      </c>
      <c r="F16" s="256"/>
      <c r="G16" s="256"/>
      <c r="H16" s="170">
        <v>0.4</v>
      </c>
      <c r="I16" s="81" t="s">
        <v>26</v>
      </c>
      <c r="J16" s="101">
        <v>95</v>
      </c>
      <c r="K16" s="102" t="s">
        <v>25</v>
      </c>
      <c r="L16" s="171">
        <v>115</v>
      </c>
      <c r="M16" s="168" t="str">
        <f t="shared" ref="M16:M20" si="0">K16</f>
        <v>%</v>
      </c>
      <c r="N16" s="115">
        <f t="shared" ref="N16:N20" si="1">IF(I16="Maximize",L16/J16*100*H16,IF(I16="Minimize",J16/L16*100*H16))</f>
        <v>48.421052631578952</v>
      </c>
      <c r="O16" s="55"/>
    </row>
    <row r="17" spans="1:15" ht="45" customHeight="1">
      <c r="A17" s="55"/>
      <c r="B17" s="57">
        <v>2</v>
      </c>
      <c r="C17" s="237" t="s">
        <v>170</v>
      </c>
      <c r="D17" s="238"/>
      <c r="E17" s="257" t="s">
        <v>171</v>
      </c>
      <c r="F17" s="258"/>
      <c r="G17" s="258"/>
      <c r="H17" s="172">
        <v>0.3</v>
      </c>
      <c r="I17" s="162" t="s">
        <v>26</v>
      </c>
      <c r="J17" s="163">
        <v>95</v>
      </c>
      <c r="K17" s="164" t="s">
        <v>25</v>
      </c>
      <c r="L17" s="173">
        <v>80</v>
      </c>
      <c r="M17" s="169" t="str">
        <f t="shared" si="0"/>
        <v>%</v>
      </c>
      <c r="N17" s="116">
        <f t="shared" si="1"/>
        <v>25.263157894736839</v>
      </c>
      <c r="O17" s="55"/>
    </row>
    <row r="18" spans="1:15" ht="45" customHeight="1">
      <c r="A18" s="55"/>
      <c r="B18" s="57">
        <v>3</v>
      </c>
      <c r="C18" s="237" t="s">
        <v>172</v>
      </c>
      <c r="D18" s="238"/>
      <c r="E18" s="257" t="s">
        <v>177</v>
      </c>
      <c r="F18" s="258"/>
      <c r="G18" s="258"/>
      <c r="H18" s="172">
        <v>0.2</v>
      </c>
      <c r="I18" s="162" t="s">
        <v>26</v>
      </c>
      <c r="J18" s="163">
        <v>100</v>
      </c>
      <c r="K18" s="164" t="s">
        <v>25</v>
      </c>
      <c r="L18" s="173">
        <v>100</v>
      </c>
      <c r="M18" s="169" t="str">
        <f t="shared" si="0"/>
        <v>%</v>
      </c>
      <c r="N18" s="116">
        <f t="shared" si="1"/>
        <v>20</v>
      </c>
      <c r="O18" s="55"/>
    </row>
    <row r="19" spans="1:15" ht="45" customHeight="1">
      <c r="A19" s="55"/>
      <c r="B19" s="57">
        <v>4</v>
      </c>
      <c r="C19" s="237" t="s">
        <v>173</v>
      </c>
      <c r="D19" s="238"/>
      <c r="E19" s="219" t="s">
        <v>178</v>
      </c>
      <c r="F19" s="259"/>
      <c r="G19" s="259"/>
      <c r="H19" s="172">
        <v>0.05</v>
      </c>
      <c r="I19" s="162" t="s">
        <v>26</v>
      </c>
      <c r="J19" s="163">
        <v>100</v>
      </c>
      <c r="K19" s="164" t="s">
        <v>25</v>
      </c>
      <c r="L19" s="173">
        <v>100</v>
      </c>
      <c r="M19" s="169" t="str">
        <f t="shared" si="0"/>
        <v>%</v>
      </c>
      <c r="N19" s="116">
        <f t="shared" si="1"/>
        <v>5</v>
      </c>
      <c r="O19" s="55"/>
    </row>
    <row r="20" spans="1:15" s="17" customFormat="1" ht="45" customHeight="1" thickBot="1">
      <c r="B20" s="156">
        <v>5</v>
      </c>
      <c r="C20" s="242" t="s">
        <v>174</v>
      </c>
      <c r="D20" s="241"/>
      <c r="E20" s="260" t="s">
        <v>176</v>
      </c>
      <c r="F20" s="261"/>
      <c r="G20" s="261"/>
      <c r="H20" s="174">
        <v>0.05</v>
      </c>
      <c r="I20" s="84" t="s">
        <v>26</v>
      </c>
      <c r="J20" s="166">
        <v>100</v>
      </c>
      <c r="K20" s="167" t="s">
        <v>25</v>
      </c>
      <c r="L20" s="187">
        <v>100</v>
      </c>
      <c r="M20" s="124" t="str">
        <f t="shared" si="0"/>
        <v>%</v>
      </c>
      <c r="N20" s="159">
        <f t="shared" si="1"/>
        <v>5</v>
      </c>
    </row>
    <row r="21" spans="1:15" ht="14.25" customHeight="1" thickBot="1">
      <c r="A21" s="55"/>
      <c r="B21" s="60"/>
      <c r="C21" s="226" t="s">
        <v>28</v>
      </c>
      <c r="D21" s="227"/>
      <c r="E21" s="227"/>
      <c r="F21" s="227"/>
      <c r="G21" s="228"/>
      <c r="H21" s="85">
        <f>SUM(H16:H20)</f>
        <v>1</v>
      </c>
      <c r="I21" s="107"/>
      <c r="J21" s="55"/>
      <c r="K21" s="55"/>
      <c r="L21" s="55"/>
      <c r="M21" s="117" t="s">
        <v>29</v>
      </c>
      <c r="N21" s="118">
        <f>SUM(N16:N20)</f>
        <v>103.68421052631579</v>
      </c>
      <c r="O21" s="55"/>
    </row>
    <row r="22" spans="1:15" ht="6" customHeight="1">
      <c r="B22" s="48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112"/>
    </row>
    <row r="23" spans="1:15" ht="14.25" customHeight="1">
      <c r="B23" s="48"/>
      <c r="C23" s="61" t="s">
        <v>30</v>
      </c>
      <c r="D23" s="49" t="s">
        <v>31</v>
      </c>
      <c r="E23" s="49"/>
      <c r="F23" s="49"/>
      <c r="G23" s="47"/>
      <c r="H23" s="47"/>
      <c r="I23" s="47"/>
      <c r="J23" s="47"/>
      <c r="K23" s="47"/>
      <c r="L23" s="47"/>
      <c r="M23" s="47"/>
      <c r="N23" s="112"/>
    </row>
    <row r="24" spans="1:15" ht="14.25" customHeight="1">
      <c r="B24" s="48"/>
      <c r="C24" s="47"/>
      <c r="D24" s="47"/>
      <c r="E24" s="86">
        <f>N21</f>
        <v>103.68421052631579</v>
      </c>
      <c r="F24" s="87" t="s">
        <v>32</v>
      </c>
      <c r="G24" s="88">
        <v>0.8</v>
      </c>
      <c r="H24" s="125" t="s">
        <v>33</v>
      </c>
      <c r="I24" s="108">
        <f>G24*E24</f>
        <v>82.947368421052644</v>
      </c>
      <c r="L24" s="47"/>
      <c r="M24" s="47"/>
      <c r="N24" s="112"/>
    </row>
    <row r="25" spans="1:15" ht="4.5" customHeight="1">
      <c r="B25" s="48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112"/>
    </row>
    <row r="26" spans="1:15" ht="20.45" customHeight="1">
      <c r="B26" s="62" t="s">
        <v>34</v>
      </c>
      <c r="C26" s="63"/>
      <c r="D26" s="64"/>
      <c r="E26" s="21"/>
      <c r="F26" s="64"/>
      <c r="G26" s="89"/>
      <c r="H26" s="64"/>
      <c r="I26" s="64"/>
      <c r="J26" s="64"/>
      <c r="K26" s="64"/>
      <c r="L26" s="64"/>
      <c r="M26" s="64"/>
      <c r="N26" s="119"/>
    </row>
    <row r="27" spans="1:15" ht="6" customHeight="1">
      <c r="B27" s="65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120"/>
    </row>
    <row r="28" spans="1:15" ht="14.25" customHeight="1">
      <c r="B28" s="65"/>
      <c r="E28" s="90" t="s">
        <v>13</v>
      </c>
      <c r="F28" s="215" t="s">
        <v>35</v>
      </c>
      <c r="G28" s="197"/>
      <c r="H28" s="91" t="s">
        <v>16</v>
      </c>
      <c r="I28" s="109" t="s">
        <v>36</v>
      </c>
      <c r="J28" s="215" t="s">
        <v>37</v>
      </c>
      <c r="K28" s="197"/>
      <c r="N28" s="120"/>
    </row>
    <row r="29" spans="1:15" ht="14.25" customHeight="1">
      <c r="A29" s="55"/>
      <c r="B29" s="65"/>
      <c r="E29" s="92">
        <v>1</v>
      </c>
      <c r="F29" s="216" t="s">
        <v>38</v>
      </c>
      <c r="G29" s="217"/>
      <c r="H29" s="93">
        <v>0.25</v>
      </c>
      <c r="I29" s="92">
        <v>80</v>
      </c>
      <c r="J29" s="218">
        <f t="shared" ref="J29:J32" si="2">H29*I29</f>
        <v>20</v>
      </c>
      <c r="K29" s="217"/>
      <c r="N29" s="120"/>
    </row>
    <row r="30" spans="1:15" ht="14.25" customHeight="1">
      <c r="A30" s="55"/>
      <c r="B30" s="65"/>
      <c r="E30" s="94">
        <v>2</v>
      </c>
      <c r="F30" s="214" t="s">
        <v>39</v>
      </c>
      <c r="G30" s="212"/>
      <c r="H30" s="82">
        <v>0.25</v>
      </c>
      <c r="I30" s="94">
        <v>80</v>
      </c>
      <c r="J30" s="213">
        <f t="shared" si="2"/>
        <v>20</v>
      </c>
      <c r="K30" s="212"/>
      <c r="N30" s="120"/>
    </row>
    <row r="31" spans="1:15" ht="14.25" customHeight="1">
      <c r="B31" s="65"/>
      <c r="E31" s="94">
        <v>3</v>
      </c>
      <c r="F31" s="211" t="s">
        <v>40</v>
      </c>
      <c r="G31" s="212"/>
      <c r="H31" s="82">
        <v>0.25</v>
      </c>
      <c r="I31" s="94">
        <v>80</v>
      </c>
      <c r="J31" s="213">
        <f t="shared" si="2"/>
        <v>20</v>
      </c>
      <c r="K31" s="212"/>
      <c r="N31" s="120"/>
    </row>
    <row r="32" spans="1:15" ht="14.25" customHeight="1">
      <c r="A32" s="55"/>
      <c r="B32" s="65"/>
      <c r="E32" s="94">
        <v>4</v>
      </c>
      <c r="F32" s="214" t="s">
        <v>41</v>
      </c>
      <c r="G32" s="212"/>
      <c r="H32" s="82">
        <v>0.25</v>
      </c>
      <c r="I32" s="94">
        <v>80</v>
      </c>
      <c r="J32" s="213">
        <f t="shared" si="2"/>
        <v>20</v>
      </c>
      <c r="K32" s="212"/>
      <c r="N32" s="120"/>
    </row>
    <row r="33" spans="1:14" ht="14.25" customHeight="1">
      <c r="A33" s="55"/>
      <c r="B33" s="65"/>
      <c r="E33" s="94"/>
      <c r="F33" s="95"/>
      <c r="G33" s="96"/>
      <c r="H33" s="82"/>
      <c r="I33" s="94"/>
      <c r="J33" s="213"/>
      <c r="K33" s="212"/>
      <c r="N33" s="120"/>
    </row>
    <row r="34" spans="1:14" ht="14.25" customHeight="1">
      <c r="B34" s="65"/>
      <c r="E34" s="94"/>
      <c r="F34" s="191"/>
      <c r="G34" s="192"/>
      <c r="H34" s="82"/>
      <c r="I34" s="94"/>
      <c r="J34" s="193"/>
      <c r="K34" s="194"/>
      <c r="N34" s="120"/>
    </row>
    <row r="35" spans="1:14" ht="14.25" customHeight="1">
      <c r="A35" s="55"/>
      <c r="B35" s="65"/>
      <c r="E35" s="195" t="s">
        <v>42</v>
      </c>
      <c r="F35" s="196"/>
      <c r="G35" s="197"/>
      <c r="H35" s="97">
        <f>SUM(H29:H34)</f>
        <v>1</v>
      </c>
      <c r="I35" s="90" t="s">
        <v>29</v>
      </c>
      <c r="J35" s="198">
        <f>SUM(J29:J34)</f>
        <v>80</v>
      </c>
      <c r="K35" s="197"/>
      <c r="N35" s="120"/>
    </row>
    <row r="36" spans="1:14" ht="8.25" customHeight="1">
      <c r="B36" s="65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120"/>
    </row>
    <row r="37" spans="1:14" ht="14.25" customHeight="1">
      <c r="B37" s="65"/>
      <c r="C37" s="61" t="s">
        <v>43</v>
      </c>
      <c r="D37" s="49" t="s">
        <v>31</v>
      </c>
      <c r="E37" s="49"/>
      <c r="F37" s="49"/>
      <c r="G37" s="47"/>
      <c r="H37" s="47"/>
      <c r="I37" s="47"/>
      <c r="J37" s="47"/>
      <c r="K37" s="47"/>
      <c r="L37" s="47"/>
      <c r="M37" s="47"/>
      <c r="N37" s="120"/>
    </row>
    <row r="38" spans="1:14" ht="14.25" customHeight="1">
      <c r="B38" s="65"/>
      <c r="C38" s="47"/>
      <c r="D38" s="47"/>
      <c r="E38" s="98">
        <f>J35</f>
        <v>80</v>
      </c>
      <c r="F38" s="87" t="s">
        <v>32</v>
      </c>
      <c r="G38" s="88">
        <v>0.2</v>
      </c>
      <c r="H38" s="125" t="s">
        <v>33</v>
      </c>
      <c r="I38" s="110">
        <f>G38*E38</f>
        <v>16</v>
      </c>
      <c r="L38" s="47"/>
      <c r="M38" s="47"/>
      <c r="N38" s="120"/>
    </row>
    <row r="39" spans="1:14" ht="9.75" customHeight="1"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121"/>
    </row>
    <row r="40" spans="1:14" ht="5.25" customHeight="1">
      <c r="B40" s="48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112"/>
    </row>
    <row r="41" spans="1:14" ht="14.25" customHeight="1">
      <c r="B41" s="48"/>
      <c r="C41" s="51" t="s">
        <v>44</v>
      </c>
      <c r="D41" s="68"/>
      <c r="E41" s="68"/>
      <c r="F41" s="68"/>
      <c r="G41" s="68"/>
      <c r="H41" s="68"/>
      <c r="I41" s="68"/>
      <c r="J41" s="68"/>
      <c r="K41" s="68"/>
      <c r="L41" s="68"/>
      <c r="M41" s="47"/>
      <c r="N41" s="112"/>
    </row>
    <row r="42" spans="1:14" s="17" customFormat="1" ht="24.6" customHeight="1">
      <c r="B42" s="69"/>
      <c r="C42" s="70" t="s">
        <v>45</v>
      </c>
      <c r="D42" s="71"/>
      <c r="E42" s="71"/>
      <c r="F42" s="71"/>
      <c r="G42" s="71"/>
      <c r="H42" s="99">
        <f>I24</f>
        <v>82.947368421052644</v>
      </c>
      <c r="I42" s="126" t="s">
        <v>46</v>
      </c>
      <c r="J42" s="99">
        <f>I38</f>
        <v>16</v>
      </c>
      <c r="K42" s="126" t="s">
        <v>33</v>
      </c>
      <c r="L42" s="99">
        <f>H42+J42</f>
        <v>98.947368421052644</v>
      </c>
      <c r="M42" s="55"/>
      <c r="N42" s="122"/>
    </row>
    <row r="43" spans="1:14" ht="14.25" customHeight="1">
      <c r="B43" s="48"/>
      <c r="C43" s="51"/>
      <c r="D43" s="68"/>
      <c r="E43" s="68"/>
      <c r="F43" s="68"/>
      <c r="G43" s="68"/>
      <c r="H43" s="100"/>
      <c r="I43" s="111"/>
      <c r="J43" s="100"/>
      <c r="K43" s="111"/>
      <c r="L43" s="100"/>
      <c r="M43" s="47"/>
      <c r="N43" s="112"/>
    </row>
    <row r="44" spans="1:14" ht="14.25" customHeight="1">
      <c r="B44" s="48"/>
      <c r="C44" s="47" t="s">
        <v>47</v>
      </c>
      <c r="D44" s="47"/>
      <c r="F44" s="47"/>
      <c r="G44" s="73" t="s">
        <v>48</v>
      </c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47"/>
      <c r="D47" s="47"/>
      <c r="F47" s="47"/>
      <c r="G47" s="47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47"/>
      <c r="D48" s="47"/>
      <c r="F48" s="47"/>
      <c r="G48" s="47"/>
      <c r="H48" s="47"/>
      <c r="I48" s="47"/>
      <c r="J48" s="47"/>
      <c r="K48" s="47"/>
      <c r="L48" s="47"/>
      <c r="M48" s="47"/>
      <c r="N48" s="112"/>
    </row>
    <row r="49" spans="2:14" ht="14.25" customHeight="1">
      <c r="B49" s="48"/>
      <c r="C49" s="72"/>
      <c r="D49" s="72"/>
      <c r="F49" s="47"/>
      <c r="G49" s="72"/>
      <c r="H49" s="47"/>
      <c r="I49" s="47"/>
      <c r="J49" s="47"/>
      <c r="K49" s="47"/>
      <c r="L49" s="47"/>
      <c r="M49" s="47"/>
      <c r="N49" s="112"/>
    </row>
    <row r="50" spans="2:14" ht="14.25" customHeight="1">
      <c r="B50" s="48"/>
      <c r="C50" s="73" t="s">
        <v>49</v>
      </c>
      <c r="D50" s="47"/>
      <c r="F50" s="47"/>
      <c r="G50" s="47" t="s">
        <v>50</v>
      </c>
      <c r="H50" s="47"/>
      <c r="I50" s="47"/>
      <c r="J50" s="47"/>
      <c r="K50" s="47"/>
      <c r="L50" s="47"/>
      <c r="M50" s="47"/>
      <c r="N50" s="112"/>
    </row>
    <row r="51" spans="2:14" ht="12.75" customHeight="1" thickBot="1">
      <c r="B51" s="74"/>
      <c r="C51" s="75" t="s">
        <v>51</v>
      </c>
      <c r="D51" s="76"/>
      <c r="E51" s="76"/>
      <c r="F51" s="76"/>
      <c r="G51" s="76" t="s">
        <v>52</v>
      </c>
      <c r="H51" s="76"/>
      <c r="I51" s="76"/>
      <c r="J51" s="76"/>
      <c r="K51" s="76"/>
      <c r="L51" s="76"/>
      <c r="M51" s="76"/>
      <c r="N51" s="123"/>
    </row>
    <row r="52" spans="2:14" ht="14.25" hidden="1" customHeight="1">
      <c r="B52" s="74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123"/>
    </row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</sheetData>
  <mergeCells count="29">
    <mergeCell ref="E15:G15"/>
    <mergeCell ref="C16:D16"/>
    <mergeCell ref="E16:G16"/>
    <mergeCell ref="C17:D17"/>
    <mergeCell ref="E17:G17"/>
    <mergeCell ref="C18:D18"/>
    <mergeCell ref="E18:G18"/>
    <mergeCell ref="C20:D20"/>
    <mergeCell ref="C21:G21"/>
    <mergeCell ref="F28:G28"/>
    <mergeCell ref="C19:D19"/>
    <mergeCell ref="E19:G19"/>
    <mergeCell ref="E20:G20"/>
    <mergeCell ref="F34:G34"/>
    <mergeCell ref="J34:K34"/>
    <mergeCell ref="E35:G35"/>
    <mergeCell ref="J35:K35"/>
    <mergeCell ref="N2:N5"/>
    <mergeCell ref="B2:M5"/>
    <mergeCell ref="F31:G31"/>
    <mergeCell ref="J31:K31"/>
    <mergeCell ref="F32:G32"/>
    <mergeCell ref="J32:K32"/>
    <mergeCell ref="J33:K33"/>
    <mergeCell ref="J28:K28"/>
    <mergeCell ref="F29:G29"/>
    <mergeCell ref="J29:K29"/>
    <mergeCell ref="F30:G30"/>
    <mergeCell ref="J30:K30"/>
  </mergeCells>
  <pageMargins left="0.25" right="0.25" top="4.1666666666666699E-2" bottom="0.133333333333333" header="0" footer="0"/>
  <pageSetup paperSize="9" scale="8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798FED2-95C9-4CB6-8854-9354E45C5640}">
          <x14:formula1>
            <xm:f>Sheet2!$B$2:$B$3</xm:f>
          </x14:formula1>
          <xm:sqref>I16:I20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855D-8088-4A9E-A401-82B42944C3E0}">
  <sheetPr>
    <tabColor rgb="FFFFFF00"/>
  </sheetPr>
  <dimension ref="A1:O89"/>
  <sheetViews>
    <sheetView showGridLines="0" topLeftCell="D10" zoomScale="85" zoomScaleNormal="85" workbookViewId="0">
      <selection activeCell="M20" sqref="M20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 thickBo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 thickBo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71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8" t="s">
        <v>73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9" t="s">
        <v>195</v>
      </c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194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 thickBo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 thickBot="1">
      <c r="B15" s="150" t="s">
        <v>13</v>
      </c>
      <c r="C15" s="151" t="s">
        <v>14</v>
      </c>
      <c r="D15" s="152"/>
      <c r="E15" s="245" t="s">
        <v>15</v>
      </c>
      <c r="F15" s="246"/>
      <c r="G15" s="247"/>
      <c r="H15" s="153" t="s">
        <v>16</v>
      </c>
      <c r="I15" s="153" t="s">
        <v>17</v>
      </c>
      <c r="J15" s="153" t="s">
        <v>18</v>
      </c>
      <c r="K15" s="153" t="s">
        <v>19</v>
      </c>
      <c r="L15" s="153" t="s">
        <v>20</v>
      </c>
      <c r="M15" s="154" t="s">
        <v>19</v>
      </c>
      <c r="N15" s="155" t="s">
        <v>21</v>
      </c>
    </row>
    <row r="16" spans="1:15" ht="45" customHeight="1">
      <c r="A16" s="55"/>
      <c r="B16" s="56">
        <v>1</v>
      </c>
      <c r="C16" s="232" t="s">
        <v>169</v>
      </c>
      <c r="D16" s="233"/>
      <c r="E16" s="256" t="s">
        <v>175</v>
      </c>
      <c r="F16" s="256"/>
      <c r="G16" s="256"/>
      <c r="H16" s="170">
        <v>0.4</v>
      </c>
      <c r="I16" s="81" t="s">
        <v>26</v>
      </c>
      <c r="J16" s="101">
        <v>95</v>
      </c>
      <c r="K16" s="102" t="s">
        <v>25</v>
      </c>
      <c r="L16" s="171">
        <v>136</v>
      </c>
      <c r="M16" s="168" t="str">
        <f t="shared" ref="M16:M20" si="0">K16</f>
        <v>%</v>
      </c>
      <c r="N16" s="115">
        <f t="shared" ref="N16:N20" si="1">IF(I16="Maximize",L16/J16*100*H16,IF(I16="Minimize",J16/L16*100*H16))</f>
        <v>57.26315789473685</v>
      </c>
      <c r="O16" s="55"/>
    </row>
    <row r="17" spans="1:15" ht="45" customHeight="1">
      <c r="A17" s="55"/>
      <c r="B17" s="57">
        <v>2</v>
      </c>
      <c r="C17" s="237" t="s">
        <v>170</v>
      </c>
      <c r="D17" s="238"/>
      <c r="E17" s="257" t="s">
        <v>171</v>
      </c>
      <c r="F17" s="258"/>
      <c r="G17" s="258"/>
      <c r="H17" s="172">
        <v>0.3</v>
      </c>
      <c r="I17" s="162" t="s">
        <v>26</v>
      </c>
      <c r="J17" s="163">
        <v>95</v>
      </c>
      <c r="K17" s="164" t="s">
        <v>25</v>
      </c>
      <c r="L17" s="173">
        <v>80</v>
      </c>
      <c r="M17" s="169" t="str">
        <f t="shared" si="0"/>
        <v>%</v>
      </c>
      <c r="N17" s="116">
        <f t="shared" si="1"/>
        <v>25.263157894736839</v>
      </c>
      <c r="O17" s="55"/>
    </row>
    <row r="18" spans="1:15" ht="45" customHeight="1">
      <c r="A18" s="55"/>
      <c r="B18" s="57">
        <v>3</v>
      </c>
      <c r="C18" s="237" t="s">
        <v>172</v>
      </c>
      <c r="D18" s="238"/>
      <c r="E18" s="257" t="s">
        <v>177</v>
      </c>
      <c r="F18" s="258"/>
      <c r="G18" s="258"/>
      <c r="H18" s="172">
        <v>0.2</v>
      </c>
      <c r="I18" s="162" t="s">
        <v>26</v>
      </c>
      <c r="J18" s="163">
        <v>100</v>
      </c>
      <c r="K18" s="164" t="s">
        <v>25</v>
      </c>
      <c r="L18" s="186">
        <v>100</v>
      </c>
      <c r="M18" s="169" t="str">
        <f t="shared" si="0"/>
        <v>%</v>
      </c>
      <c r="N18" s="116">
        <f t="shared" si="1"/>
        <v>20</v>
      </c>
      <c r="O18" s="55"/>
    </row>
    <row r="19" spans="1:15" ht="45" customHeight="1">
      <c r="A19" s="55"/>
      <c r="B19" s="57">
        <v>4</v>
      </c>
      <c r="C19" s="237" t="s">
        <v>173</v>
      </c>
      <c r="D19" s="238"/>
      <c r="E19" s="219" t="s">
        <v>178</v>
      </c>
      <c r="F19" s="259"/>
      <c r="G19" s="259"/>
      <c r="H19" s="172">
        <v>0.05</v>
      </c>
      <c r="I19" s="162" t="s">
        <v>26</v>
      </c>
      <c r="J19" s="163">
        <v>100</v>
      </c>
      <c r="K19" s="164" t="s">
        <v>25</v>
      </c>
      <c r="L19" s="173">
        <v>100</v>
      </c>
      <c r="M19" s="169" t="str">
        <f t="shared" si="0"/>
        <v>%</v>
      </c>
      <c r="N19" s="116">
        <f t="shared" si="1"/>
        <v>5</v>
      </c>
      <c r="O19" s="55"/>
    </row>
    <row r="20" spans="1:15" s="17" customFormat="1" ht="45" customHeight="1" thickBot="1">
      <c r="B20" s="156">
        <v>5</v>
      </c>
      <c r="C20" s="242" t="s">
        <v>174</v>
      </c>
      <c r="D20" s="241"/>
      <c r="E20" s="260" t="s">
        <v>176</v>
      </c>
      <c r="F20" s="261"/>
      <c r="G20" s="261"/>
      <c r="H20" s="174">
        <v>0.05</v>
      </c>
      <c r="I20" s="84" t="s">
        <v>26</v>
      </c>
      <c r="J20" s="166">
        <v>100</v>
      </c>
      <c r="K20" s="167" t="s">
        <v>25</v>
      </c>
      <c r="L20" s="187">
        <v>100</v>
      </c>
      <c r="M20" s="124" t="str">
        <f t="shared" si="0"/>
        <v>%</v>
      </c>
      <c r="N20" s="159">
        <f t="shared" si="1"/>
        <v>5</v>
      </c>
    </row>
    <row r="21" spans="1:15" ht="14.25" customHeight="1" thickBot="1">
      <c r="A21" s="55"/>
      <c r="B21" s="60"/>
      <c r="C21" s="226" t="s">
        <v>28</v>
      </c>
      <c r="D21" s="227"/>
      <c r="E21" s="227"/>
      <c r="F21" s="227"/>
      <c r="G21" s="228"/>
      <c r="H21" s="85">
        <f>SUM(H16:H20)</f>
        <v>1</v>
      </c>
      <c r="I21" s="107"/>
      <c r="J21" s="55"/>
      <c r="K21" s="55"/>
      <c r="L21" s="55"/>
      <c r="M21" s="117" t="s">
        <v>29</v>
      </c>
      <c r="N21" s="118">
        <f>SUM(N16:N20)</f>
        <v>112.52631578947368</v>
      </c>
      <c r="O21" s="55"/>
    </row>
    <row r="22" spans="1:15" ht="6" customHeight="1">
      <c r="B22" s="48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112"/>
    </row>
    <row r="23" spans="1:15" ht="14.25" customHeight="1" thickBot="1">
      <c r="B23" s="48"/>
      <c r="C23" s="61" t="s">
        <v>30</v>
      </c>
      <c r="D23" s="49" t="s">
        <v>31</v>
      </c>
      <c r="E23" s="49"/>
      <c r="F23" s="49"/>
      <c r="G23" s="47"/>
      <c r="H23" s="47"/>
      <c r="I23" s="47"/>
      <c r="J23" s="47"/>
      <c r="K23" s="47"/>
      <c r="L23" s="47"/>
      <c r="M23" s="47"/>
      <c r="N23" s="112"/>
    </row>
    <row r="24" spans="1:15" ht="14.25" customHeight="1" thickBot="1">
      <c r="B24" s="48"/>
      <c r="C24" s="47"/>
      <c r="D24" s="47"/>
      <c r="E24" s="86">
        <f>N21</f>
        <v>112.52631578947368</v>
      </c>
      <c r="F24" s="87" t="s">
        <v>32</v>
      </c>
      <c r="G24" s="88">
        <v>0.8</v>
      </c>
      <c r="H24" s="125" t="s">
        <v>33</v>
      </c>
      <c r="I24" s="108">
        <f>G24*E24</f>
        <v>90.021052631578954</v>
      </c>
      <c r="L24" s="47"/>
      <c r="M24" s="47"/>
      <c r="N24" s="112"/>
    </row>
    <row r="25" spans="1:15" ht="4.5" customHeight="1" thickBot="1">
      <c r="B25" s="48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112"/>
    </row>
    <row r="26" spans="1:15" ht="20.45" customHeight="1">
      <c r="B26" s="62" t="s">
        <v>34</v>
      </c>
      <c r="C26" s="63"/>
      <c r="D26" s="64"/>
      <c r="E26" s="21"/>
      <c r="F26" s="64"/>
      <c r="G26" s="89"/>
      <c r="H26" s="64"/>
      <c r="I26" s="64"/>
      <c r="J26" s="64"/>
      <c r="K26" s="64"/>
      <c r="L26" s="64"/>
      <c r="M26" s="64"/>
      <c r="N26" s="119"/>
    </row>
    <row r="27" spans="1:15" ht="6" customHeight="1" thickBot="1">
      <c r="B27" s="65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120"/>
    </row>
    <row r="28" spans="1:15" ht="14.25" customHeight="1" thickBot="1">
      <c r="B28" s="65"/>
      <c r="E28" s="90" t="s">
        <v>13</v>
      </c>
      <c r="F28" s="215" t="s">
        <v>35</v>
      </c>
      <c r="G28" s="197"/>
      <c r="H28" s="91" t="s">
        <v>16</v>
      </c>
      <c r="I28" s="109" t="s">
        <v>36</v>
      </c>
      <c r="J28" s="215" t="s">
        <v>37</v>
      </c>
      <c r="K28" s="197"/>
      <c r="N28" s="120"/>
    </row>
    <row r="29" spans="1:15" ht="14.25" customHeight="1">
      <c r="A29" s="55"/>
      <c r="B29" s="65"/>
      <c r="E29" s="92">
        <v>1</v>
      </c>
      <c r="F29" s="216" t="s">
        <v>38</v>
      </c>
      <c r="G29" s="217"/>
      <c r="H29" s="93">
        <v>0.25</v>
      </c>
      <c r="I29" s="92">
        <v>80</v>
      </c>
      <c r="J29" s="218">
        <f t="shared" ref="J29:J32" si="2">H29*I29</f>
        <v>20</v>
      </c>
      <c r="K29" s="217"/>
      <c r="N29" s="120"/>
    </row>
    <row r="30" spans="1:15" ht="14.25" customHeight="1">
      <c r="A30" s="55"/>
      <c r="B30" s="65"/>
      <c r="E30" s="94">
        <v>2</v>
      </c>
      <c r="F30" s="214" t="s">
        <v>39</v>
      </c>
      <c r="G30" s="212"/>
      <c r="H30" s="82">
        <v>0.25</v>
      </c>
      <c r="I30" s="94">
        <v>80</v>
      </c>
      <c r="J30" s="213">
        <f t="shared" si="2"/>
        <v>20</v>
      </c>
      <c r="K30" s="212"/>
      <c r="N30" s="120"/>
    </row>
    <row r="31" spans="1:15" ht="14.25" customHeight="1">
      <c r="B31" s="65"/>
      <c r="E31" s="94">
        <v>3</v>
      </c>
      <c r="F31" s="211" t="s">
        <v>40</v>
      </c>
      <c r="G31" s="212"/>
      <c r="H31" s="82">
        <v>0.25</v>
      </c>
      <c r="I31" s="94">
        <v>80</v>
      </c>
      <c r="J31" s="213">
        <f t="shared" si="2"/>
        <v>20</v>
      </c>
      <c r="K31" s="212"/>
      <c r="N31" s="120"/>
    </row>
    <row r="32" spans="1:15" ht="14.25" customHeight="1">
      <c r="A32" s="55"/>
      <c r="B32" s="65"/>
      <c r="E32" s="94">
        <v>4</v>
      </c>
      <c r="F32" s="214" t="s">
        <v>41</v>
      </c>
      <c r="G32" s="212"/>
      <c r="H32" s="82">
        <v>0.25</v>
      </c>
      <c r="I32" s="94">
        <v>80</v>
      </c>
      <c r="J32" s="213">
        <f t="shared" si="2"/>
        <v>20</v>
      </c>
      <c r="K32" s="212"/>
      <c r="N32" s="120"/>
    </row>
    <row r="33" spans="1:14" ht="14.25" customHeight="1">
      <c r="A33" s="55"/>
      <c r="B33" s="65"/>
      <c r="E33" s="94"/>
      <c r="F33" s="95"/>
      <c r="G33" s="96"/>
      <c r="H33" s="82"/>
      <c r="I33" s="94"/>
      <c r="J33" s="213"/>
      <c r="K33" s="212"/>
      <c r="N33" s="120"/>
    </row>
    <row r="34" spans="1:14" ht="14.25" customHeight="1" thickBot="1">
      <c r="B34" s="65"/>
      <c r="E34" s="94"/>
      <c r="F34" s="191"/>
      <c r="G34" s="192"/>
      <c r="H34" s="82"/>
      <c r="I34" s="94"/>
      <c r="J34" s="193"/>
      <c r="K34" s="194"/>
      <c r="N34" s="120"/>
    </row>
    <row r="35" spans="1:14" ht="14.25" customHeight="1" thickBot="1">
      <c r="A35" s="55"/>
      <c r="B35" s="65"/>
      <c r="E35" s="195" t="s">
        <v>42</v>
      </c>
      <c r="F35" s="196"/>
      <c r="G35" s="197"/>
      <c r="H35" s="97">
        <f>SUM(H29:H34)</f>
        <v>1</v>
      </c>
      <c r="I35" s="90" t="s">
        <v>29</v>
      </c>
      <c r="J35" s="198">
        <f>SUM(J29:J34)</f>
        <v>80</v>
      </c>
      <c r="K35" s="197"/>
      <c r="N35" s="120"/>
    </row>
    <row r="36" spans="1:14" ht="8.25" customHeight="1">
      <c r="B36" s="65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120"/>
    </row>
    <row r="37" spans="1:14" ht="14.25" customHeight="1" thickBot="1">
      <c r="B37" s="65"/>
      <c r="C37" s="61" t="s">
        <v>43</v>
      </c>
      <c r="D37" s="49" t="s">
        <v>31</v>
      </c>
      <c r="E37" s="49"/>
      <c r="F37" s="49"/>
      <c r="G37" s="47"/>
      <c r="H37" s="47"/>
      <c r="I37" s="47"/>
      <c r="J37" s="47"/>
      <c r="K37" s="47"/>
      <c r="L37" s="47"/>
      <c r="M37" s="47"/>
      <c r="N37" s="120"/>
    </row>
    <row r="38" spans="1:14" ht="14.25" customHeight="1" thickBot="1">
      <c r="B38" s="65"/>
      <c r="C38" s="47"/>
      <c r="D38" s="47"/>
      <c r="E38" s="98">
        <f>J35</f>
        <v>80</v>
      </c>
      <c r="F38" s="87" t="s">
        <v>32</v>
      </c>
      <c r="G38" s="88">
        <v>0.2</v>
      </c>
      <c r="H38" s="125" t="s">
        <v>33</v>
      </c>
      <c r="I38" s="110">
        <f>G38*E38</f>
        <v>16</v>
      </c>
      <c r="L38" s="47"/>
      <c r="M38" s="47"/>
      <c r="N38" s="120"/>
    </row>
    <row r="39" spans="1:14" ht="9.75" customHeight="1" thickBot="1"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121"/>
    </row>
    <row r="40" spans="1:14" ht="5.25" customHeight="1">
      <c r="B40" s="48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112"/>
    </row>
    <row r="41" spans="1:14" ht="14.25" customHeight="1" thickBot="1">
      <c r="B41" s="48"/>
      <c r="C41" s="51" t="s">
        <v>44</v>
      </c>
      <c r="D41" s="68"/>
      <c r="E41" s="68"/>
      <c r="F41" s="68"/>
      <c r="G41" s="68"/>
      <c r="H41" s="68"/>
      <c r="I41" s="68"/>
      <c r="J41" s="68"/>
      <c r="K41" s="68"/>
      <c r="L41" s="68"/>
      <c r="M41" s="47"/>
      <c r="N41" s="112"/>
    </row>
    <row r="42" spans="1:14" s="17" customFormat="1" ht="24.6" customHeight="1" thickBot="1">
      <c r="B42" s="69"/>
      <c r="C42" s="70" t="s">
        <v>45</v>
      </c>
      <c r="D42" s="71"/>
      <c r="E42" s="71"/>
      <c r="F42" s="71"/>
      <c r="G42" s="71"/>
      <c r="H42" s="99">
        <f>I24</f>
        <v>90.021052631578954</v>
      </c>
      <c r="I42" s="126" t="s">
        <v>46</v>
      </c>
      <c r="J42" s="99">
        <f>I38</f>
        <v>16</v>
      </c>
      <c r="K42" s="126" t="s">
        <v>33</v>
      </c>
      <c r="L42" s="99">
        <f>H42+J42</f>
        <v>106.02105263157895</v>
      </c>
      <c r="M42" s="55"/>
      <c r="N42" s="122"/>
    </row>
    <row r="43" spans="1:14" ht="14.25" customHeight="1">
      <c r="B43" s="48"/>
      <c r="C43" s="51"/>
      <c r="D43" s="68"/>
      <c r="E43" s="68"/>
      <c r="F43" s="68"/>
      <c r="G43" s="68"/>
      <c r="H43" s="100"/>
      <c r="I43" s="111"/>
      <c r="J43" s="100"/>
      <c r="K43" s="111"/>
      <c r="L43" s="100"/>
      <c r="M43" s="47"/>
      <c r="N43" s="112"/>
    </row>
    <row r="44" spans="1:14" ht="14.25" customHeight="1">
      <c r="B44" s="48"/>
      <c r="C44" s="47" t="s">
        <v>47</v>
      </c>
      <c r="D44" s="47"/>
      <c r="F44" s="47"/>
      <c r="G44" s="73" t="s">
        <v>48</v>
      </c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47"/>
      <c r="D47" s="47"/>
      <c r="F47" s="47"/>
      <c r="G47" s="47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47"/>
      <c r="D48" s="47"/>
      <c r="F48" s="47"/>
      <c r="G48" s="47"/>
      <c r="H48" s="47"/>
      <c r="I48" s="47"/>
      <c r="J48" s="47"/>
      <c r="K48" s="47"/>
      <c r="L48" s="47"/>
      <c r="M48" s="47"/>
      <c r="N48" s="112"/>
    </row>
    <row r="49" spans="2:14" ht="14.25" customHeight="1">
      <c r="B49" s="48"/>
      <c r="C49" s="72"/>
      <c r="D49" s="72"/>
      <c r="F49" s="47"/>
      <c r="G49" s="72"/>
      <c r="H49" s="47"/>
      <c r="I49" s="47"/>
      <c r="J49" s="47"/>
      <c r="K49" s="47"/>
      <c r="L49" s="47"/>
      <c r="M49" s="47"/>
      <c r="N49" s="112"/>
    </row>
    <row r="50" spans="2:14" ht="14.25" customHeight="1">
      <c r="B50" s="48"/>
      <c r="C50" s="73" t="s">
        <v>49</v>
      </c>
      <c r="D50" s="47"/>
      <c r="F50" s="47"/>
      <c r="G50" s="47" t="s">
        <v>50</v>
      </c>
      <c r="H50" s="47"/>
      <c r="I50" s="47"/>
      <c r="J50" s="47"/>
      <c r="K50" s="47"/>
      <c r="L50" s="47"/>
      <c r="M50" s="47"/>
      <c r="N50" s="112"/>
    </row>
    <row r="51" spans="2:14" ht="12.75" customHeight="1" thickBot="1">
      <c r="B51" s="74"/>
      <c r="C51" s="75" t="s">
        <v>51</v>
      </c>
      <c r="D51" s="76"/>
      <c r="E51" s="76"/>
      <c r="F51" s="76"/>
      <c r="G51" s="76" t="s">
        <v>52</v>
      </c>
      <c r="H51" s="76"/>
      <c r="I51" s="76"/>
      <c r="J51" s="76"/>
      <c r="K51" s="76"/>
      <c r="L51" s="76"/>
      <c r="M51" s="76"/>
      <c r="N51" s="123"/>
    </row>
    <row r="52" spans="2:14" ht="14.25" hidden="1" customHeight="1">
      <c r="B52" s="74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123"/>
    </row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</sheetData>
  <mergeCells count="29">
    <mergeCell ref="C17:D17"/>
    <mergeCell ref="E17:G17"/>
    <mergeCell ref="B2:M5"/>
    <mergeCell ref="N2:N5"/>
    <mergeCell ref="E15:G15"/>
    <mergeCell ref="C16:D16"/>
    <mergeCell ref="E16:G16"/>
    <mergeCell ref="F30:G30"/>
    <mergeCell ref="J30:K30"/>
    <mergeCell ref="C18:D18"/>
    <mergeCell ref="E18:G18"/>
    <mergeCell ref="C19:D19"/>
    <mergeCell ref="E19:G19"/>
    <mergeCell ref="C20:D20"/>
    <mergeCell ref="E20:G20"/>
    <mergeCell ref="C21:G21"/>
    <mergeCell ref="F28:G28"/>
    <mergeCell ref="J28:K28"/>
    <mergeCell ref="F29:G29"/>
    <mergeCell ref="J29:K29"/>
    <mergeCell ref="E35:G35"/>
    <mergeCell ref="J35:K35"/>
    <mergeCell ref="F31:G31"/>
    <mergeCell ref="J31:K31"/>
    <mergeCell ref="F32:G32"/>
    <mergeCell ref="J32:K32"/>
    <mergeCell ref="J33:K33"/>
    <mergeCell ref="F34:G34"/>
    <mergeCell ref="J34:K34"/>
  </mergeCells>
  <pageMargins left="0.25" right="0.25" top="4.1666666666666699E-2" bottom="0.133333333333333" header="0" footer="0"/>
  <pageSetup paperSize="9" scale="8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35F5390-9475-49E5-8127-EA561236EA21}">
          <x14:formula1>
            <xm:f>Sheet2!$B$2:$B$3</xm:f>
          </x14:formula1>
          <xm:sqref>I16:I20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8"/>
  <sheetViews>
    <sheetView showGridLines="0" topLeftCell="A4" zoomScale="85" zoomScaleNormal="85" workbookViewId="0">
      <selection activeCell="E11" sqref="E11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83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8" t="s">
        <v>84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9"/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194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>
      <c r="B15" s="52" t="s">
        <v>13</v>
      </c>
      <c r="C15" s="53" t="s">
        <v>14</v>
      </c>
      <c r="D15" s="54"/>
      <c r="E15" s="229" t="s">
        <v>15</v>
      </c>
      <c r="F15" s="230"/>
      <c r="G15" s="231"/>
      <c r="H15" s="80" t="s">
        <v>16</v>
      </c>
      <c r="I15" s="80" t="s">
        <v>17</v>
      </c>
      <c r="J15" s="80" t="s">
        <v>18</v>
      </c>
      <c r="K15" s="80" t="s">
        <v>19</v>
      </c>
      <c r="L15" s="80" t="s">
        <v>20</v>
      </c>
      <c r="M15" s="113" t="s">
        <v>19</v>
      </c>
      <c r="N15" s="54" t="s">
        <v>21</v>
      </c>
    </row>
    <row r="16" spans="1:15" ht="46.15" customHeight="1">
      <c r="A16" s="55"/>
      <c r="B16" s="56">
        <v>1</v>
      </c>
      <c r="C16" s="248" t="s">
        <v>85</v>
      </c>
      <c r="D16" s="233"/>
      <c r="E16" s="234" t="s">
        <v>86</v>
      </c>
      <c r="F16" s="235"/>
      <c r="G16" s="236"/>
      <c r="H16" s="81">
        <v>0.5</v>
      </c>
      <c r="I16" s="81" t="s">
        <v>26</v>
      </c>
      <c r="J16" s="101">
        <v>100</v>
      </c>
      <c r="K16" s="102" t="s">
        <v>25</v>
      </c>
      <c r="L16" s="101">
        <v>100</v>
      </c>
      <c r="M16" s="114" t="str">
        <f t="shared" ref="M16:M19" si="0">K16</f>
        <v>%</v>
      </c>
      <c r="N16" s="115">
        <f t="shared" ref="N16:N19" si="1">IF(I16="Maximize",L16/J16*100*H16,IF(I16="Minimize",J16/L16*100*H16))</f>
        <v>50</v>
      </c>
      <c r="O16" s="55"/>
    </row>
    <row r="17" spans="1:15" ht="31.9" customHeight="1">
      <c r="A17" s="55"/>
      <c r="B17" s="57">
        <v>2</v>
      </c>
      <c r="C17" s="237" t="s">
        <v>87</v>
      </c>
      <c r="D17" s="238"/>
      <c r="E17" s="239" t="s">
        <v>88</v>
      </c>
      <c r="F17" s="239"/>
      <c r="G17" s="220"/>
      <c r="H17" s="82">
        <v>0.2</v>
      </c>
      <c r="I17" s="82" t="s">
        <v>26</v>
      </c>
      <c r="J17" s="103">
        <v>1</v>
      </c>
      <c r="K17" s="94" t="s">
        <v>25</v>
      </c>
      <c r="L17" s="103">
        <v>1</v>
      </c>
      <c r="M17" s="94" t="str">
        <f t="shared" si="0"/>
        <v>%</v>
      </c>
      <c r="N17" s="116">
        <f t="shared" si="1"/>
        <v>20</v>
      </c>
      <c r="O17" s="55"/>
    </row>
    <row r="18" spans="1:15" ht="31.9" customHeight="1">
      <c r="A18" s="55"/>
      <c r="B18" s="58">
        <v>3</v>
      </c>
      <c r="C18" s="219"/>
      <c r="D18" s="220"/>
      <c r="E18" s="221"/>
      <c r="F18" s="222"/>
      <c r="G18" s="223"/>
      <c r="H18" s="82">
        <v>0.2</v>
      </c>
      <c r="I18" s="82" t="s">
        <v>26</v>
      </c>
      <c r="J18" s="103">
        <v>1</v>
      </c>
      <c r="K18" s="94" t="s">
        <v>25</v>
      </c>
      <c r="L18" s="103">
        <v>1</v>
      </c>
      <c r="M18" s="94" t="str">
        <f t="shared" si="0"/>
        <v>%</v>
      </c>
      <c r="N18" s="116">
        <f t="shared" si="1"/>
        <v>20</v>
      </c>
      <c r="O18" s="55"/>
    </row>
    <row r="19" spans="1:15" s="17" customFormat="1" ht="31.9" customHeight="1">
      <c r="B19" s="59">
        <v>4</v>
      </c>
      <c r="C19" s="224"/>
      <c r="D19" s="225"/>
      <c r="E19" s="83"/>
      <c r="F19" s="83"/>
      <c r="G19" s="83"/>
      <c r="H19" s="84">
        <v>0.1</v>
      </c>
      <c r="I19" s="104" t="s">
        <v>26</v>
      </c>
      <c r="J19" s="105">
        <v>1</v>
      </c>
      <c r="K19" s="104"/>
      <c r="L19" s="106">
        <v>1</v>
      </c>
      <c r="M19" s="94">
        <f t="shared" si="0"/>
        <v>0</v>
      </c>
      <c r="N19" s="116">
        <f t="shared" si="1"/>
        <v>10</v>
      </c>
    </row>
    <row r="20" spans="1:15" ht="14.25" customHeight="1">
      <c r="A20" s="55"/>
      <c r="B20" s="60"/>
      <c r="C20" s="226" t="s">
        <v>28</v>
      </c>
      <c r="D20" s="227"/>
      <c r="E20" s="227"/>
      <c r="F20" s="227"/>
      <c r="G20" s="228"/>
      <c r="H20" s="85">
        <f>SUM(H16:H19)</f>
        <v>0.99999999999999989</v>
      </c>
      <c r="I20" s="107"/>
      <c r="J20" s="55"/>
      <c r="K20" s="55"/>
      <c r="L20" s="55"/>
      <c r="M20" s="117" t="s">
        <v>29</v>
      </c>
      <c r="N20" s="118">
        <f>SUM(N16:N19)</f>
        <v>100</v>
      </c>
      <c r="O20" s="55"/>
    </row>
    <row r="21" spans="1:15" ht="6" customHeight="1">
      <c r="B21" s="48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112"/>
    </row>
    <row r="22" spans="1:15" ht="14.25" customHeight="1">
      <c r="B22" s="48"/>
      <c r="C22" s="61" t="s">
        <v>30</v>
      </c>
      <c r="D22" s="49" t="s">
        <v>31</v>
      </c>
      <c r="E22" s="49"/>
      <c r="F22" s="49"/>
      <c r="G22" s="47"/>
      <c r="H22" s="47"/>
      <c r="I22" s="47"/>
      <c r="J22" s="47"/>
      <c r="K22" s="47"/>
      <c r="L22" s="47"/>
      <c r="M22" s="47"/>
      <c r="N22" s="112"/>
    </row>
    <row r="23" spans="1:15" ht="14.25" customHeight="1">
      <c r="B23" s="48"/>
      <c r="C23" s="47"/>
      <c r="D23" s="47"/>
      <c r="E23" s="86">
        <f>N20</f>
        <v>100</v>
      </c>
      <c r="F23" s="87" t="s">
        <v>32</v>
      </c>
      <c r="G23" s="88">
        <v>0.8</v>
      </c>
      <c r="H23" s="125" t="s">
        <v>33</v>
      </c>
      <c r="I23" s="108">
        <f>G23*E23</f>
        <v>80</v>
      </c>
      <c r="L23" s="47"/>
      <c r="M23" s="47"/>
      <c r="N23" s="112"/>
    </row>
    <row r="24" spans="1:15" ht="4.5" customHeight="1">
      <c r="B24" s="48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112"/>
    </row>
    <row r="25" spans="1:15" ht="20.45" customHeight="1">
      <c r="B25" s="62" t="s">
        <v>34</v>
      </c>
      <c r="C25" s="63"/>
      <c r="D25" s="64"/>
      <c r="E25" s="21"/>
      <c r="F25" s="64"/>
      <c r="G25" s="89"/>
      <c r="H25" s="64"/>
      <c r="I25" s="64"/>
      <c r="J25" s="64"/>
      <c r="K25" s="64"/>
      <c r="L25" s="64"/>
      <c r="M25" s="64"/>
      <c r="N25" s="119"/>
    </row>
    <row r="26" spans="1:15" ht="6" customHeight="1">
      <c r="B26" s="65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120"/>
    </row>
    <row r="27" spans="1:15" ht="14.25" customHeight="1">
      <c r="B27" s="65"/>
      <c r="E27" s="90" t="s">
        <v>13</v>
      </c>
      <c r="F27" s="215" t="s">
        <v>35</v>
      </c>
      <c r="G27" s="197"/>
      <c r="H27" s="91" t="s">
        <v>16</v>
      </c>
      <c r="I27" s="109" t="s">
        <v>36</v>
      </c>
      <c r="J27" s="215" t="s">
        <v>37</v>
      </c>
      <c r="K27" s="197"/>
      <c r="N27" s="120"/>
    </row>
    <row r="28" spans="1:15" ht="14.25" customHeight="1">
      <c r="A28" s="55"/>
      <c r="B28" s="65"/>
      <c r="E28" s="92">
        <v>1</v>
      </c>
      <c r="F28" s="216" t="s">
        <v>38</v>
      </c>
      <c r="G28" s="217"/>
      <c r="H28" s="93">
        <v>0.25</v>
      </c>
      <c r="I28" s="92">
        <v>80</v>
      </c>
      <c r="J28" s="218">
        <f t="shared" ref="J28:J31" si="2">H28*I28</f>
        <v>20</v>
      </c>
      <c r="K28" s="217"/>
      <c r="N28" s="120"/>
    </row>
    <row r="29" spans="1:15" ht="14.25" customHeight="1">
      <c r="A29" s="55"/>
      <c r="B29" s="65"/>
      <c r="E29" s="94">
        <v>2</v>
      </c>
      <c r="F29" s="214" t="s">
        <v>39</v>
      </c>
      <c r="G29" s="212"/>
      <c r="H29" s="82">
        <v>0.25</v>
      </c>
      <c r="I29" s="94">
        <v>90</v>
      </c>
      <c r="J29" s="213">
        <f t="shared" si="2"/>
        <v>22.5</v>
      </c>
      <c r="K29" s="212"/>
      <c r="N29" s="120"/>
    </row>
    <row r="30" spans="1:15" ht="14.25" customHeight="1">
      <c r="B30" s="65"/>
      <c r="E30" s="94">
        <v>3</v>
      </c>
      <c r="F30" s="211" t="s">
        <v>40</v>
      </c>
      <c r="G30" s="212"/>
      <c r="H30" s="82">
        <v>0.25</v>
      </c>
      <c r="I30" s="94">
        <v>90</v>
      </c>
      <c r="J30" s="213">
        <f t="shared" si="2"/>
        <v>22.5</v>
      </c>
      <c r="K30" s="212"/>
      <c r="N30" s="120"/>
    </row>
    <row r="31" spans="1:15" ht="14.25" customHeight="1">
      <c r="A31" s="55"/>
      <c r="B31" s="65"/>
      <c r="E31" s="94">
        <v>4</v>
      </c>
      <c r="F31" s="214" t="s">
        <v>41</v>
      </c>
      <c r="G31" s="212"/>
      <c r="H31" s="82">
        <v>0.25</v>
      </c>
      <c r="I31" s="94">
        <v>85</v>
      </c>
      <c r="J31" s="213">
        <f t="shared" si="2"/>
        <v>21.25</v>
      </c>
      <c r="K31" s="212"/>
      <c r="N31" s="120"/>
    </row>
    <row r="32" spans="1:15" ht="14.25" customHeight="1">
      <c r="A32" s="55"/>
      <c r="B32" s="65"/>
      <c r="E32" s="94"/>
      <c r="F32" s="95"/>
      <c r="G32" s="96"/>
      <c r="H32" s="82"/>
      <c r="I32" s="94"/>
      <c r="J32" s="213"/>
      <c r="K32" s="212"/>
      <c r="N32" s="120"/>
    </row>
    <row r="33" spans="1:14" ht="14.25" customHeight="1">
      <c r="B33" s="65"/>
      <c r="E33" s="94"/>
      <c r="F33" s="191"/>
      <c r="G33" s="192"/>
      <c r="H33" s="82"/>
      <c r="I33" s="94"/>
      <c r="J33" s="193"/>
      <c r="K33" s="194"/>
      <c r="N33" s="120"/>
    </row>
    <row r="34" spans="1:14" ht="14.25" customHeight="1">
      <c r="A34" s="55"/>
      <c r="B34" s="65"/>
      <c r="E34" s="195" t="s">
        <v>42</v>
      </c>
      <c r="F34" s="196"/>
      <c r="G34" s="197"/>
      <c r="H34" s="97">
        <f>SUM(H28:H33)</f>
        <v>1</v>
      </c>
      <c r="I34" s="90" t="s">
        <v>29</v>
      </c>
      <c r="J34" s="198">
        <f>SUM(J28:J33)</f>
        <v>86.25</v>
      </c>
      <c r="K34" s="197"/>
      <c r="N34" s="120"/>
    </row>
    <row r="35" spans="1:14" ht="8.25" customHeight="1">
      <c r="B35" s="65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120"/>
    </row>
    <row r="36" spans="1:14" ht="14.25" customHeight="1">
      <c r="B36" s="65"/>
      <c r="C36" s="61" t="s">
        <v>43</v>
      </c>
      <c r="D36" s="49" t="s">
        <v>31</v>
      </c>
      <c r="E36" s="49"/>
      <c r="F36" s="49"/>
      <c r="G36" s="47"/>
      <c r="H36" s="47"/>
      <c r="I36" s="47"/>
      <c r="J36" s="47"/>
      <c r="K36" s="47"/>
      <c r="L36" s="47"/>
      <c r="M36" s="47"/>
      <c r="N36" s="120"/>
    </row>
    <row r="37" spans="1:14" ht="14.25" customHeight="1">
      <c r="B37" s="65"/>
      <c r="C37" s="47"/>
      <c r="D37" s="47"/>
      <c r="E37" s="98">
        <f>J34</f>
        <v>86.25</v>
      </c>
      <c r="F37" s="87" t="s">
        <v>32</v>
      </c>
      <c r="G37" s="88">
        <v>0.2</v>
      </c>
      <c r="H37" s="125" t="s">
        <v>33</v>
      </c>
      <c r="I37" s="110">
        <f>G37*E37</f>
        <v>17.25</v>
      </c>
      <c r="L37" s="47"/>
      <c r="M37" s="47"/>
      <c r="N37" s="120"/>
    </row>
    <row r="38" spans="1:14" ht="9.75" customHeight="1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121"/>
    </row>
    <row r="39" spans="1:14" ht="5.25" customHeight="1">
      <c r="B39" s="48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112"/>
    </row>
    <row r="40" spans="1:14" ht="14.25" customHeight="1">
      <c r="B40" s="48"/>
      <c r="C40" s="51" t="s">
        <v>44</v>
      </c>
      <c r="D40" s="68"/>
      <c r="E40" s="68"/>
      <c r="F40" s="68"/>
      <c r="G40" s="68"/>
      <c r="H40" s="68"/>
      <c r="I40" s="68"/>
      <c r="J40" s="68"/>
      <c r="K40" s="68"/>
      <c r="L40" s="68"/>
      <c r="M40" s="47"/>
      <c r="N40" s="112"/>
    </row>
    <row r="41" spans="1:14" s="17" customFormat="1" ht="24.6" customHeight="1">
      <c r="B41" s="69"/>
      <c r="C41" s="70" t="s">
        <v>45</v>
      </c>
      <c r="D41" s="71"/>
      <c r="E41" s="71"/>
      <c r="F41" s="71"/>
      <c r="G41" s="71"/>
      <c r="H41" s="99">
        <f>I23</f>
        <v>80</v>
      </c>
      <c r="I41" s="126" t="s">
        <v>46</v>
      </c>
      <c r="J41" s="99">
        <f>I37</f>
        <v>17.25</v>
      </c>
      <c r="K41" s="126" t="s">
        <v>33</v>
      </c>
      <c r="L41" s="99">
        <f>H41+J41</f>
        <v>97.25</v>
      </c>
      <c r="M41" s="55"/>
      <c r="N41" s="122"/>
    </row>
    <row r="42" spans="1:14" ht="14.25" customHeight="1">
      <c r="B42" s="48"/>
      <c r="C42" s="51"/>
      <c r="D42" s="68"/>
      <c r="E42" s="68"/>
      <c r="F42" s="68"/>
      <c r="G42" s="68"/>
      <c r="H42" s="100"/>
      <c r="I42" s="111"/>
      <c r="J42" s="100"/>
      <c r="K42" s="111"/>
      <c r="L42" s="100"/>
      <c r="M42" s="47"/>
      <c r="N42" s="112"/>
    </row>
    <row r="43" spans="1:14" ht="14.25" customHeight="1">
      <c r="B43" s="48"/>
      <c r="C43" s="47" t="s">
        <v>47</v>
      </c>
      <c r="D43" s="47"/>
      <c r="F43" s="47"/>
      <c r="G43" s="73" t="s">
        <v>48</v>
      </c>
      <c r="H43" s="47"/>
      <c r="I43" s="47"/>
      <c r="J43" s="47"/>
      <c r="K43" s="47"/>
      <c r="L43" s="47"/>
      <c r="M43" s="47"/>
      <c r="N43" s="112"/>
    </row>
    <row r="44" spans="1:14" ht="14.25" customHeight="1">
      <c r="B44" s="48"/>
      <c r="C44" s="47"/>
      <c r="D44" s="47"/>
      <c r="F44" s="47"/>
      <c r="G44" s="47"/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47"/>
      <c r="D47" s="47"/>
      <c r="F47" s="47"/>
      <c r="G47" s="47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72"/>
      <c r="D48" s="72"/>
      <c r="F48" s="47"/>
      <c r="G48" s="72"/>
      <c r="H48" s="47"/>
      <c r="I48" s="47"/>
      <c r="J48" s="47"/>
      <c r="K48" s="47"/>
      <c r="L48" s="47"/>
      <c r="M48" s="47"/>
      <c r="N48" s="112"/>
    </row>
    <row r="49" spans="2:14" ht="14.25" customHeight="1">
      <c r="B49" s="48"/>
      <c r="C49" s="73" t="s">
        <v>49</v>
      </c>
      <c r="D49" s="47"/>
      <c r="F49" s="47"/>
      <c r="G49" s="47" t="s">
        <v>50</v>
      </c>
      <c r="H49" s="47"/>
      <c r="I49" s="47"/>
      <c r="J49" s="47"/>
      <c r="K49" s="47"/>
      <c r="L49" s="47"/>
      <c r="M49" s="47"/>
      <c r="N49" s="112"/>
    </row>
    <row r="50" spans="2:14" ht="12.75" customHeight="1">
      <c r="B50" s="74"/>
      <c r="C50" s="75" t="s">
        <v>51</v>
      </c>
      <c r="D50" s="76"/>
      <c r="E50" s="76"/>
      <c r="F50" s="76"/>
      <c r="G50" s="76" t="s">
        <v>52</v>
      </c>
      <c r="H50" s="76"/>
      <c r="I50" s="76"/>
      <c r="J50" s="76"/>
      <c r="K50" s="76"/>
      <c r="L50" s="76"/>
      <c r="M50" s="76"/>
      <c r="N50" s="123"/>
    </row>
    <row r="51" spans="2:14" ht="14.25" hidden="1" customHeight="1">
      <c r="B51" s="74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123"/>
    </row>
    <row r="52" spans="2:14" ht="14.25" customHeight="1"/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</sheetData>
  <mergeCells count="26">
    <mergeCell ref="E15:G15"/>
    <mergeCell ref="C16:D16"/>
    <mergeCell ref="E16:G16"/>
    <mergeCell ref="C17:D17"/>
    <mergeCell ref="E17:G17"/>
    <mergeCell ref="C18:D18"/>
    <mergeCell ref="E18:G18"/>
    <mergeCell ref="C19:D19"/>
    <mergeCell ref="C20:G20"/>
    <mergeCell ref="F27:G27"/>
    <mergeCell ref="F33:G33"/>
    <mergeCell ref="J33:K33"/>
    <mergeCell ref="E34:G34"/>
    <mergeCell ref="J34:K34"/>
    <mergeCell ref="N2:N5"/>
    <mergeCell ref="B2:M5"/>
    <mergeCell ref="F30:G30"/>
    <mergeCell ref="J30:K30"/>
    <mergeCell ref="F31:G31"/>
    <mergeCell ref="J31:K31"/>
    <mergeCell ref="J32:K32"/>
    <mergeCell ref="J27:K27"/>
    <mergeCell ref="F28:G28"/>
    <mergeCell ref="J28:K28"/>
    <mergeCell ref="F29:G29"/>
    <mergeCell ref="J29:K29"/>
  </mergeCells>
  <pageMargins left="0.25" right="0.25" top="4.1666666666666699E-2" bottom="0.133333333333333" header="0" footer="0"/>
  <pageSetup paperSize="9" scale="8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28706BA-E895-45F5-8C48-73D76A8BA7AD}">
          <x14:formula1>
            <xm:f>Sheet2!$B$2:$B$3</xm:f>
          </x14:formula1>
          <xm:sqref>I16:I19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8"/>
  <sheetViews>
    <sheetView showGridLines="0" topLeftCell="A9" zoomScale="85" zoomScaleNormal="85" workbookViewId="0">
      <selection activeCell="E11" sqref="E11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83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8" t="s">
        <v>89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9"/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194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>
      <c r="B15" s="52" t="s">
        <v>13</v>
      </c>
      <c r="C15" s="53" t="s">
        <v>14</v>
      </c>
      <c r="D15" s="54"/>
      <c r="E15" s="229" t="s">
        <v>15</v>
      </c>
      <c r="F15" s="230"/>
      <c r="G15" s="231"/>
      <c r="H15" s="80" t="s">
        <v>16</v>
      </c>
      <c r="I15" s="80" t="s">
        <v>17</v>
      </c>
      <c r="J15" s="80" t="s">
        <v>18</v>
      </c>
      <c r="K15" s="80" t="s">
        <v>19</v>
      </c>
      <c r="L15" s="80" t="s">
        <v>20</v>
      </c>
      <c r="M15" s="113" t="s">
        <v>19</v>
      </c>
      <c r="N15" s="54" t="s">
        <v>21</v>
      </c>
    </row>
    <row r="16" spans="1:15" ht="46.15" customHeight="1">
      <c r="A16" s="55"/>
      <c r="B16" s="56">
        <v>1</v>
      </c>
      <c r="C16" s="232" t="s">
        <v>90</v>
      </c>
      <c r="D16" s="233"/>
      <c r="E16" s="234" t="s">
        <v>91</v>
      </c>
      <c r="F16" s="235"/>
      <c r="G16" s="236"/>
      <c r="H16" s="81">
        <v>0.5</v>
      </c>
      <c r="I16" s="81" t="s">
        <v>26</v>
      </c>
      <c r="J16" s="101">
        <v>100</v>
      </c>
      <c r="K16" s="102" t="s">
        <v>25</v>
      </c>
      <c r="L16" s="101">
        <v>100</v>
      </c>
      <c r="M16" s="114" t="str">
        <f t="shared" ref="M16:M19" si="0">K16</f>
        <v>%</v>
      </c>
      <c r="N16" s="115">
        <f t="shared" ref="N16:N19" si="1">IF(I16="Maximize",L16/J16*100*H16,IF(I16="Minimize",J16/L16*100*H16))</f>
        <v>50</v>
      </c>
      <c r="O16" s="55"/>
    </row>
    <row r="17" spans="1:15" ht="31.9" customHeight="1">
      <c r="A17" s="55"/>
      <c r="B17" s="57">
        <v>2</v>
      </c>
      <c r="C17" s="237" t="s">
        <v>92</v>
      </c>
      <c r="D17" s="238"/>
      <c r="E17" s="239" t="s">
        <v>93</v>
      </c>
      <c r="F17" s="239"/>
      <c r="G17" s="220"/>
      <c r="H17" s="82">
        <v>0.2</v>
      </c>
      <c r="I17" s="82" t="s">
        <v>26</v>
      </c>
      <c r="J17" s="103">
        <v>1</v>
      </c>
      <c r="K17" s="94" t="s">
        <v>25</v>
      </c>
      <c r="L17" s="103">
        <v>1</v>
      </c>
      <c r="M17" s="94" t="str">
        <f t="shared" si="0"/>
        <v>%</v>
      </c>
      <c r="N17" s="116">
        <f t="shared" si="1"/>
        <v>20</v>
      </c>
      <c r="O17" s="55"/>
    </row>
    <row r="18" spans="1:15" ht="31.9" customHeight="1">
      <c r="A18" s="55"/>
      <c r="B18" s="58">
        <v>3</v>
      </c>
      <c r="C18" s="219" t="s">
        <v>94</v>
      </c>
      <c r="D18" s="220"/>
      <c r="E18" s="221" t="s">
        <v>95</v>
      </c>
      <c r="F18" s="222"/>
      <c r="G18" s="223"/>
      <c r="H18" s="82">
        <v>0.2</v>
      </c>
      <c r="I18" s="82" t="s">
        <v>26</v>
      </c>
      <c r="J18" s="103">
        <v>1</v>
      </c>
      <c r="K18" s="94" t="s">
        <v>25</v>
      </c>
      <c r="L18" s="103">
        <v>1</v>
      </c>
      <c r="M18" s="94" t="str">
        <f t="shared" si="0"/>
        <v>%</v>
      </c>
      <c r="N18" s="116">
        <f t="shared" si="1"/>
        <v>20</v>
      </c>
      <c r="O18" s="55"/>
    </row>
    <row r="19" spans="1:15" s="17" customFormat="1" ht="31.9" customHeight="1">
      <c r="B19" s="59">
        <v>4</v>
      </c>
      <c r="C19" s="224"/>
      <c r="D19" s="225"/>
      <c r="E19" s="83"/>
      <c r="F19" s="83"/>
      <c r="G19" s="83"/>
      <c r="H19" s="84">
        <v>0.1</v>
      </c>
      <c r="I19" s="104" t="s">
        <v>26</v>
      </c>
      <c r="J19" s="105">
        <v>1</v>
      </c>
      <c r="K19" s="104"/>
      <c r="L19" s="106">
        <v>1</v>
      </c>
      <c r="M19" s="94">
        <f t="shared" si="0"/>
        <v>0</v>
      </c>
      <c r="N19" s="116">
        <f t="shared" si="1"/>
        <v>10</v>
      </c>
    </row>
    <row r="20" spans="1:15" ht="14.25" customHeight="1">
      <c r="A20" s="55"/>
      <c r="B20" s="60"/>
      <c r="C20" s="226" t="s">
        <v>28</v>
      </c>
      <c r="D20" s="227"/>
      <c r="E20" s="227"/>
      <c r="F20" s="227"/>
      <c r="G20" s="228"/>
      <c r="H20" s="85">
        <f>SUM(H16:H19)</f>
        <v>1</v>
      </c>
      <c r="I20" s="107"/>
      <c r="J20" s="55"/>
      <c r="K20" s="55"/>
      <c r="L20" s="55"/>
      <c r="M20" s="117" t="s">
        <v>29</v>
      </c>
      <c r="N20" s="118">
        <f>SUM(N16:N19)</f>
        <v>100</v>
      </c>
      <c r="O20" s="55"/>
    </row>
    <row r="21" spans="1:15" ht="6" customHeight="1">
      <c r="B21" s="48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112"/>
    </row>
    <row r="22" spans="1:15" ht="14.25" customHeight="1">
      <c r="B22" s="48"/>
      <c r="C22" s="61" t="s">
        <v>30</v>
      </c>
      <c r="D22" s="49" t="s">
        <v>31</v>
      </c>
      <c r="E22" s="49"/>
      <c r="F22" s="49"/>
      <c r="G22" s="47"/>
      <c r="H22" s="47"/>
      <c r="I22" s="47"/>
      <c r="J22" s="47"/>
      <c r="K22" s="47"/>
      <c r="L22" s="47"/>
      <c r="M22" s="47"/>
      <c r="N22" s="112"/>
    </row>
    <row r="23" spans="1:15" ht="14.25" customHeight="1">
      <c r="B23" s="48"/>
      <c r="C23" s="47"/>
      <c r="D23" s="47"/>
      <c r="E23" s="86">
        <f>N20</f>
        <v>100</v>
      </c>
      <c r="F23" s="87" t="s">
        <v>32</v>
      </c>
      <c r="G23" s="88">
        <v>0.8</v>
      </c>
      <c r="H23" s="125" t="s">
        <v>33</v>
      </c>
      <c r="I23" s="108">
        <f>G23*E23</f>
        <v>80</v>
      </c>
      <c r="L23" s="47"/>
      <c r="M23" s="47"/>
      <c r="N23" s="112"/>
    </row>
    <row r="24" spans="1:15" ht="4.5" customHeight="1">
      <c r="B24" s="48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112"/>
    </row>
    <row r="25" spans="1:15" ht="20.45" customHeight="1">
      <c r="B25" s="62" t="s">
        <v>34</v>
      </c>
      <c r="C25" s="63"/>
      <c r="D25" s="64"/>
      <c r="E25" s="21"/>
      <c r="F25" s="64"/>
      <c r="G25" s="89"/>
      <c r="H25" s="64"/>
      <c r="I25" s="64"/>
      <c r="J25" s="64"/>
      <c r="K25" s="64"/>
      <c r="L25" s="64"/>
      <c r="M25" s="64"/>
      <c r="N25" s="119"/>
    </row>
    <row r="26" spans="1:15" ht="6" customHeight="1">
      <c r="B26" s="65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120"/>
    </row>
    <row r="27" spans="1:15" ht="14.25" customHeight="1">
      <c r="B27" s="65"/>
      <c r="E27" s="90" t="s">
        <v>13</v>
      </c>
      <c r="F27" s="215" t="s">
        <v>35</v>
      </c>
      <c r="G27" s="197"/>
      <c r="H27" s="91" t="s">
        <v>16</v>
      </c>
      <c r="I27" s="109" t="s">
        <v>36</v>
      </c>
      <c r="J27" s="215" t="s">
        <v>37</v>
      </c>
      <c r="K27" s="197"/>
      <c r="N27" s="120"/>
    </row>
    <row r="28" spans="1:15" ht="14.25" customHeight="1">
      <c r="A28" s="55"/>
      <c r="B28" s="65"/>
      <c r="E28" s="92">
        <v>1</v>
      </c>
      <c r="F28" s="216" t="s">
        <v>38</v>
      </c>
      <c r="G28" s="217"/>
      <c r="H28" s="93">
        <v>0.25</v>
      </c>
      <c r="I28" s="92">
        <v>80</v>
      </c>
      <c r="J28" s="218">
        <f t="shared" ref="J28:J31" si="2">H28*I28</f>
        <v>20</v>
      </c>
      <c r="K28" s="217"/>
      <c r="N28" s="120"/>
    </row>
    <row r="29" spans="1:15" ht="14.25" customHeight="1">
      <c r="A29" s="55"/>
      <c r="B29" s="65"/>
      <c r="E29" s="94">
        <v>2</v>
      </c>
      <c r="F29" s="214" t="s">
        <v>39</v>
      </c>
      <c r="G29" s="212"/>
      <c r="H29" s="82">
        <v>0.25</v>
      </c>
      <c r="I29" s="94">
        <v>90</v>
      </c>
      <c r="J29" s="213">
        <f t="shared" si="2"/>
        <v>22.5</v>
      </c>
      <c r="K29" s="212"/>
      <c r="N29" s="120"/>
    </row>
    <row r="30" spans="1:15" ht="14.25" customHeight="1">
      <c r="B30" s="65"/>
      <c r="E30" s="94">
        <v>3</v>
      </c>
      <c r="F30" s="211" t="s">
        <v>40</v>
      </c>
      <c r="G30" s="212"/>
      <c r="H30" s="82">
        <v>0.25</v>
      </c>
      <c r="I30" s="94">
        <v>90</v>
      </c>
      <c r="J30" s="213">
        <f t="shared" si="2"/>
        <v>22.5</v>
      </c>
      <c r="K30" s="212"/>
      <c r="N30" s="120"/>
    </row>
    <row r="31" spans="1:15" ht="14.25" customHeight="1">
      <c r="A31" s="55"/>
      <c r="B31" s="65"/>
      <c r="E31" s="94">
        <v>4</v>
      </c>
      <c r="F31" s="214" t="s">
        <v>41</v>
      </c>
      <c r="G31" s="212"/>
      <c r="H31" s="82">
        <v>0.25</v>
      </c>
      <c r="I31" s="94">
        <v>85</v>
      </c>
      <c r="J31" s="213">
        <f t="shared" si="2"/>
        <v>21.25</v>
      </c>
      <c r="K31" s="212"/>
      <c r="N31" s="120"/>
    </row>
    <row r="32" spans="1:15" ht="14.25" customHeight="1">
      <c r="A32" s="55"/>
      <c r="B32" s="65"/>
      <c r="E32" s="94"/>
      <c r="F32" s="95"/>
      <c r="G32" s="96"/>
      <c r="H32" s="82"/>
      <c r="I32" s="94"/>
      <c r="J32" s="213"/>
      <c r="K32" s="212"/>
      <c r="N32" s="120"/>
    </row>
    <row r="33" spans="1:14" ht="14.25" customHeight="1">
      <c r="B33" s="65"/>
      <c r="E33" s="94"/>
      <c r="F33" s="191"/>
      <c r="G33" s="192"/>
      <c r="H33" s="82"/>
      <c r="I33" s="94"/>
      <c r="J33" s="193"/>
      <c r="K33" s="194"/>
      <c r="N33" s="120"/>
    </row>
    <row r="34" spans="1:14" ht="14.25" customHeight="1">
      <c r="A34" s="55"/>
      <c r="B34" s="65"/>
      <c r="E34" s="195" t="s">
        <v>42</v>
      </c>
      <c r="F34" s="196"/>
      <c r="G34" s="197"/>
      <c r="H34" s="97">
        <f>SUM(H28:H33)</f>
        <v>1</v>
      </c>
      <c r="I34" s="90" t="s">
        <v>29</v>
      </c>
      <c r="J34" s="198">
        <f>SUM(J28:J33)</f>
        <v>86.25</v>
      </c>
      <c r="K34" s="197"/>
      <c r="N34" s="120"/>
    </row>
    <row r="35" spans="1:14" ht="8.25" customHeight="1">
      <c r="B35" s="65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120"/>
    </row>
    <row r="36" spans="1:14" ht="14.25" customHeight="1">
      <c r="B36" s="65"/>
      <c r="C36" s="61" t="s">
        <v>43</v>
      </c>
      <c r="D36" s="49" t="s">
        <v>31</v>
      </c>
      <c r="E36" s="49"/>
      <c r="F36" s="49"/>
      <c r="G36" s="47"/>
      <c r="H36" s="47"/>
      <c r="I36" s="47"/>
      <c r="J36" s="47"/>
      <c r="K36" s="47"/>
      <c r="L36" s="47"/>
      <c r="M36" s="47"/>
      <c r="N36" s="120"/>
    </row>
    <row r="37" spans="1:14" ht="14.25" customHeight="1">
      <c r="B37" s="65"/>
      <c r="C37" s="47"/>
      <c r="D37" s="47"/>
      <c r="E37" s="98">
        <f>J34</f>
        <v>86.25</v>
      </c>
      <c r="F37" s="87" t="s">
        <v>32</v>
      </c>
      <c r="G37" s="88">
        <v>0.2</v>
      </c>
      <c r="H37" s="125" t="s">
        <v>33</v>
      </c>
      <c r="I37" s="110">
        <f>G37*E37</f>
        <v>17.25</v>
      </c>
      <c r="L37" s="47"/>
      <c r="M37" s="47"/>
      <c r="N37" s="120"/>
    </row>
    <row r="38" spans="1:14" ht="9.75" customHeight="1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121"/>
    </row>
    <row r="39" spans="1:14" ht="5.25" customHeight="1">
      <c r="B39" s="48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112"/>
    </row>
    <row r="40" spans="1:14" ht="14.25" customHeight="1">
      <c r="B40" s="48"/>
      <c r="C40" s="51" t="s">
        <v>44</v>
      </c>
      <c r="D40" s="68"/>
      <c r="E40" s="68"/>
      <c r="F40" s="68"/>
      <c r="G40" s="68"/>
      <c r="H40" s="68"/>
      <c r="I40" s="68"/>
      <c r="J40" s="68"/>
      <c r="K40" s="68"/>
      <c r="L40" s="68"/>
      <c r="M40" s="47"/>
      <c r="N40" s="112"/>
    </row>
    <row r="41" spans="1:14" s="17" customFormat="1" ht="24.6" customHeight="1">
      <c r="B41" s="69"/>
      <c r="C41" s="70" t="s">
        <v>45</v>
      </c>
      <c r="D41" s="71"/>
      <c r="E41" s="71"/>
      <c r="F41" s="71"/>
      <c r="G41" s="71"/>
      <c r="H41" s="99">
        <f>I23</f>
        <v>80</v>
      </c>
      <c r="I41" s="126" t="s">
        <v>46</v>
      </c>
      <c r="J41" s="99">
        <f>I37</f>
        <v>17.25</v>
      </c>
      <c r="K41" s="126" t="s">
        <v>33</v>
      </c>
      <c r="L41" s="99">
        <f>H41+J41</f>
        <v>97.25</v>
      </c>
      <c r="M41" s="55"/>
      <c r="N41" s="122"/>
    </row>
    <row r="42" spans="1:14" ht="14.25" customHeight="1">
      <c r="B42" s="48"/>
      <c r="C42" s="51"/>
      <c r="D42" s="68"/>
      <c r="E42" s="68"/>
      <c r="F42" s="68"/>
      <c r="G42" s="68"/>
      <c r="H42" s="100"/>
      <c r="I42" s="111"/>
      <c r="J42" s="100"/>
      <c r="K42" s="111"/>
      <c r="L42" s="100"/>
      <c r="M42" s="47"/>
      <c r="N42" s="112"/>
    </row>
    <row r="43" spans="1:14" ht="14.25" customHeight="1">
      <c r="B43" s="48"/>
      <c r="C43" s="47" t="s">
        <v>47</v>
      </c>
      <c r="D43" s="47"/>
      <c r="F43" s="47"/>
      <c r="G43" s="73" t="s">
        <v>48</v>
      </c>
      <c r="H43" s="47"/>
      <c r="I43" s="47"/>
      <c r="J43" s="47"/>
      <c r="K43" s="47"/>
      <c r="L43" s="47"/>
      <c r="M43" s="47"/>
      <c r="N43" s="112"/>
    </row>
    <row r="44" spans="1:14" ht="14.25" customHeight="1">
      <c r="B44" s="48"/>
      <c r="C44" s="47"/>
      <c r="D44" s="47"/>
      <c r="F44" s="47"/>
      <c r="G44" s="47"/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47"/>
      <c r="D47" s="47"/>
      <c r="F47" s="47"/>
      <c r="G47" s="47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72"/>
      <c r="D48" s="72"/>
      <c r="F48" s="47"/>
      <c r="G48" s="72"/>
      <c r="H48" s="47"/>
      <c r="I48" s="47"/>
      <c r="J48" s="47"/>
      <c r="K48" s="47"/>
      <c r="L48" s="47"/>
      <c r="M48" s="47"/>
      <c r="N48" s="112"/>
    </row>
    <row r="49" spans="2:14" ht="14.25" customHeight="1">
      <c r="B49" s="48"/>
      <c r="C49" s="73" t="s">
        <v>49</v>
      </c>
      <c r="D49" s="47"/>
      <c r="F49" s="47"/>
      <c r="G49" s="47" t="s">
        <v>50</v>
      </c>
      <c r="H49" s="47"/>
      <c r="I49" s="47"/>
      <c r="J49" s="47"/>
      <c r="K49" s="47"/>
      <c r="L49" s="47"/>
      <c r="M49" s="47"/>
      <c r="N49" s="112"/>
    </row>
    <row r="50" spans="2:14" ht="12.75" customHeight="1">
      <c r="B50" s="74"/>
      <c r="C50" s="75" t="s">
        <v>51</v>
      </c>
      <c r="D50" s="76"/>
      <c r="E50" s="76"/>
      <c r="F50" s="76"/>
      <c r="G50" s="76" t="s">
        <v>52</v>
      </c>
      <c r="H50" s="76"/>
      <c r="I50" s="76"/>
      <c r="J50" s="76"/>
      <c r="K50" s="76"/>
      <c r="L50" s="76"/>
      <c r="M50" s="76"/>
      <c r="N50" s="123"/>
    </row>
    <row r="51" spans="2:14" ht="14.25" hidden="1" customHeight="1">
      <c r="B51" s="74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123"/>
    </row>
    <row r="52" spans="2:14" ht="14.25" customHeight="1"/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</sheetData>
  <mergeCells count="26">
    <mergeCell ref="E15:G15"/>
    <mergeCell ref="C16:D16"/>
    <mergeCell ref="E16:G16"/>
    <mergeCell ref="C17:D17"/>
    <mergeCell ref="E17:G17"/>
    <mergeCell ref="C18:D18"/>
    <mergeCell ref="E18:G18"/>
    <mergeCell ref="C19:D19"/>
    <mergeCell ref="C20:G20"/>
    <mergeCell ref="F27:G27"/>
    <mergeCell ref="F33:G33"/>
    <mergeCell ref="J33:K33"/>
    <mergeCell ref="E34:G34"/>
    <mergeCell ref="J34:K34"/>
    <mergeCell ref="N2:N5"/>
    <mergeCell ref="B2:M5"/>
    <mergeCell ref="F30:G30"/>
    <mergeCell ref="J30:K30"/>
    <mergeCell ref="F31:G31"/>
    <mergeCell ref="J31:K31"/>
    <mergeCell ref="J32:K32"/>
    <mergeCell ref="J27:K27"/>
    <mergeCell ref="F28:G28"/>
    <mergeCell ref="J28:K28"/>
    <mergeCell ref="F29:G29"/>
    <mergeCell ref="J29:K29"/>
  </mergeCells>
  <pageMargins left="0.25" right="0.25" top="4.1666666666666699E-2" bottom="0.133333333333333" header="0" footer="0"/>
  <pageSetup paperSize="9" scale="8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4C4CC85-E695-4B35-9893-073C8306B472}">
          <x14:formula1>
            <xm:f>Sheet2!$B$2:$B$3</xm:f>
          </x14:formula1>
          <xm:sqref>I16:I19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C5AB-31BB-4EC8-B508-85765C5CE396}">
  <dimension ref="A1:O88"/>
  <sheetViews>
    <sheetView showGridLines="0" topLeftCell="A6" zoomScale="85" zoomScaleNormal="85" workbookViewId="0">
      <selection activeCell="E11" sqref="E11"/>
    </sheetView>
  </sheetViews>
  <sheetFormatPr defaultColWidth="14.42578125" defaultRowHeight="15" customHeight="1"/>
  <cols>
    <col min="1" max="1" width="6.42578125" customWidth="1"/>
    <col min="2" max="2" width="3.5703125" customWidth="1"/>
    <col min="3" max="3" width="25.7109375" customWidth="1"/>
    <col min="4" max="4" width="2.140625" customWidth="1"/>
    <col min="5" max="5" width="16.28515625" customWidth="1"/>
    <col min="6" max="6" width="8.7109375" customWidth="1"/>
    <col min="7" max="7" width="17.7109375" customWidth="1"/>
    <col min="8" max="8" width="11.85546875" customWidth="1"/>
    <col min="9" max="9" width="11.7109375" customWidth="1"/>
    <col min="10" max="10" width="14.28515625" customWidth="1"/>
    <col min="11" max="11" width="11" customWidth="1"/>
    <col min="12" max="12" width="14.28515625" customWidth="1"/>
    <col min="13" max="13" width="11.140625" customWidth="1"/>
    <col min="14" max="14" width="26.85546875" customWidth="1"/>
    <col min="15" max="15" width="8.7109375" customWidth="1"/>
  </cols>
  <sheetData>
    <row r="1" spans="1:15" ht="14.25" customHeight="1" thickBot="1"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5" ht="14.25" customHeight="1">
      <c r="B2" s="202" t="s">
        <v>0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4"/>
      <c r="N2" s="199" t="s">
        <v>1</v>
      </c>
    </row>
    <row r="3" spans="1:15" ht="14.25" customHeight="1">
      <c r="B3" s="205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200"/>
    </row>
    <row r="4" spans="1:15" ht="14.25" customHeight="1">
      <c r="B4" s="205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7"/>
      <c r="N4" s="200"/>
    </row>
    <row r="5" spans="1:15" ht="14.25" customHeight="1" thickBot="1">
      <c r="B5" s="208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10"/>
      <c r="N5" s="201"/>
    </row>
    <row r="6" spans="1:15" ht="12.6" customHeight="1">
      <c r="B6" s="48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112"/>
    </row>
    <row r="7" spans="1:15" ht="14.25" customHeight="1">
      <c r="B7" s="48"/>
      <c r="C7" s="49" t="s">
        <v>2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112"/>
    </row>
    <row r="8" spans="1:15" ht="14.25" customHeight="1">
      <c r="B8" s="48"/>
      <c r="C8" s="47" t="s">
        <v>3</v>
      </c>
      <c r="D8" s="47" t="s">
        <v>4</v>
      </c>
      <c r="E8" s="77" t="s">
        <v>83</v>
      </c>
      <c r="F8" s="72"/>
      <c r="G8" s="72"/>
      <c r="H8" s="72"/>
      <c r="I8" s="72"/>
      <c r="J8" s="72"/>
      <c r="K8" s="72"/>
      <c r="L8" s="72"/>
      <c r="M8" s="47"/>
      <c r="N8" s="112"/>
    </row>
    <row r="9" spans="1:15" ht="14.25" customHeight="1">
      <c r="B9" s="48"/>
      <c r="C9" s="47" t="s">
        <v>6</v>
      </c>
      <c r="D9" s="47" t="s">
        <v>4</v>
      </c>
      <c r="E9" s="79" t="s">
        <v>196</v>
      </c>
      <c r="F9" s="79"/>
      <c r="G9" s="79"/>
      <c r="H9" s="79"/>
      <c r="I9" s="79"/>
      <c r="J9" s="79"/>
      <c r="K9" s="79"/>
      <c r="L9" s="79"/>
      <c r="M9" s="47"/>
      <c r="N9" s="112"/>
    </row>
    <row r="10" spans="1:15" ht="14.25" customHeight="1">
      <c r="B10" s="48"/>
      <c r="C10" s="47" t="s">
        <v>8</v>
      </c>
      <c r="D10" s="47" t="s">
        <v>4</v>
      </c>
      <c r="E10" s="79"/>
      <c r="F10" s="79"/>
      <c r="G10" s="79"/>
      <c r="H10" s="79"/>
      <c r="I10" s="79"/>
      <c r="J10" s="79"/>
      <c r="K10" s="79"/>
      <c r="L10" s="79"/>
      <c r="M10" s="47"/>
      <c r="N10" s="112"/>
    </row>
    <row r="11" spans="1:15" ht="14.25" customHeight="1">
      <c r="B11" s="48"/>
      <c r="C11" s="47" t="s">
        <v>10</v>
      </c>
      <c r="D11" s="47" t="s">
        <v>4</v>
      </c>
      <c r="E11" s="79" t="s">
        <v>194</v>
      </c>
      <c r="F11" s="79"/>
      <c r="G11" s="79"/>
      <c r="H11" s="79"/>
      <c r="I11" s="79"/>
      <c r="J11" s="79"/>
      <c r="K11" s="79"/>
      <c r="L11" s="79"/>
      <c r="M11" s="47"/>
      <c r="N11" s="112"/>
    </row>
    <row r="12" spans="1:15" ht="14.25" customHeight="1">
      <c r="B12" s="48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112"/>
    </row>
    <row r="13" spans="1:15" ht="14.25" customHeight="1">
      <c r="B13" s="50" t="s">
        <v>12</v>
      </c>
      <c r="C13" s="51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112"/>
    </row>
    <row r="14" spans="1:15" ht="4.5" customHeight="1" thickBot="1">
      <c r="B14" s="48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112"/>
    </row>
    <row r="15" spans="1:15" ht="14.25" customHeight="1" thickBot="1">
      <c r="B15" s="52" t="s">
        <v>13</v>
      </c>
      <c r="C15" s="53" t="s">
        <v>14</v>
      </c>
      <c r="D15" s="54"/>
      <c r="E15" s="229" t="s">
        <v>15</v>
      </c>
      <c r="F15" s="230"/>
      <c r="G15" s="231"/>
      <c r="H15" s="80" t="s">
        <v>16</v>
      </c>
      <c r="I15" s="80" t="s">
        <v>17</v>
      </c>
      <c r="J15" s="80" t="s">
        <v>18</v>
      </c>
      <c r="K15" s="80" t="s">
        <v>19</v>
      </c>
      <c r="L15" s="80" t="s">
        <v>20</v>
      </c>
      <c r="M15" s="113" t="s">
        <v>19</v>
      </c>
      <c r="N15" s="54" t="s">
        <v>21</v>
      </c>
    </row>
    <row r="16" spans="1:15" ht="46.15" customHeight="1">
      <c r="A16" s="55"/>
      <c r="B16" s="56">
        <v>1</v>
      </c>
      <c r="C16" s="232" t="s">
        <v>90</v>
      </c>
      <c r="D16" s="233"/>
      <c r="E16" s="234" t="s">
        <v>91</v>
      </c>
      <c r="F16" s="235"/>
      <c r="G16" s="236"/>
      <c r="H16" s="81">
        <v>0.5</v>
      </c>
      <c r="I16" s="81" t="s">
        <v>26</v>
      </c>
      <c r="J16" s="101">
        <v>100</v>
      </c>
      <c r="K16" s="102" t="s">
        <v>25</v>
      </c>
      <c r="L16" s="101">
        <v>100</v>
      </c>
      <c r="M16" s="114" t="str">
        <f t="shared" ref="M16:M19" si="0">K16</f>
        <v>%</v>
      </c>
      <c r="N16" s="115">
        <f t="shared" ref="N16:N19" si="1">IF(I16="Maximize",L16/J16*100*H16,IF(I16="Minimize",J16/L16*100*H16))</f>
        <v>50</v>
      </c>
      <c r="O16" s="55"/>
    </row>
    <row r="17" spans="1:15" ht="31.9" customHeight="1">
      <c r="A17" s="55"/>
      <c r="B17" s="57">
        <v>2</v>
      </c>
      <c r="C17" s="237" t="s">
        <v>92</v>
      </c>
      <c r="D17" s="238"/>
      <c r="E17" s="239" t="s">
        <v>93</v>
      </c>
      <c r="F17" s="239"/>
      <c r="G17" s="220"/>
      <c r="H17" s="82">
        <v>0.2</v>
      </c>
      <c r="I17" s="82" t="s">
        <v>26</v>
      </c>
      <c r="J17" s="103">
        <v>1</v>
      </c>
      <c r="K17" s="94" t="s">
        <v>25</v>
      </c>
      <c r="L17" s="103">
        <v>1</v>
      </c>
      <c r="M17" s="94" t="str">
        <f t="shared" si="0"/>
        <v>%</v>
      </c>
      <c r="N17" s="116">
        <f t="shared" si="1"/>
        <v>20</v>
      </c>
      <c r="O17" s="55"/>
    </row>
    <row r="18" spans="1:15" ht="31.9" customHeight="1">
      <c r="A18" s="55"/>
      <c r="B18" s="58">
        <v>3</v>
      </c>
      <c r="C18" s="219" t="s">
        <v>94</v>
      </c>
      <c r="D18" s="220"/>
      <c r="E18" s="221" t="s">
        <v>95</v>
      </c>
      <c r="F18" s="222"/>
      <c r="G18" s="223"/>
      <c r="H18" s="82">
        <v>0.2</v>
      </c>
      <c r="I18" s="82" t="s">
        <v>26</v>
      </c>
      <c r="J18" s="103">
        <v>1</v>
      </c>
      <c r="K18" s="94" t="s">
        <v>25</v>
      </c>
      <c r="L18" s="103">
        <v>1</v>
      </c>
      <c r="M18" s="94" t="str">
        <f t="shared" si="0"/>
        <v>%</v>
      </c>
      <c r="N18" s="116">
        <f t="shared" si="1"/>
        <v>20</v>
      </c>
      <c r="O18" s="55"/>
    </row>
    <row r="19" spans="1:15" s="17" customFormat="1" ht="31.9" customHeight="1" thickBot="1">
      <c r="B19" s="59">
        <v>4</v>
      </c>
      <c r="C19" s="224"/>
      <c r="D19" s="225"/>
      <c r="E19" s="83"/>
      <c r="F19" s="83"/>
      <c r="G19" s="83"/>
      <c r="H19" s="84">
        <v>0.1</v>
      </c>
      <c r="I19" s="104" t="s">
        <v>26</v>
      </c>
      <c r="J19" s="105">
        <v>1</v>
      </c>
      <c r="K19" s="104"/>
      <c r="L19" s="106">
        <v>1</v>
      </c>
      <c r="M19" s="94">
        <f t="shared" si="0"/>
        <v>0</v>
      </c>
      <c r="N19" s="116">
        <f t="shared" si="1"/>
        <v>10</v>
      </c>
    </row>
    <row r="20" spans="1:15" ht="14.25" customHeight="1" thickBot="1">
      <c r="A20" s="55"/>
      <c r="B20" s="60"/>
      <c r="C20" s="226" t="s">
        <v>28</v>
      </c>
      <c r="D20" s="227"/>
      <c r="E20" s="227"/>
      <c r="F20" s="227"/>
      <c r="G20" s="228"/>
      <c r="H20" s="85">
        <f>SUM(H16:H19)</f>
        <v>0.99999999999999989</v>
      </c>
      <c r="I20" s="107"/>
      <c r="J20" s="55"/>
      <c r="K20" s="55"/>
      <c r="L20" s="55"/>
      <c r="M20" s="117" t="s">
        <v>29</v>
      </c>
      <c r="N20" s="118">
        <f>SUM(N16:N19)</f>
        <v>100</v>
      </c>
      <c r="O20" s="55"/>
    </row>
    <row r="21" spans="1:15" ht="6" customHeight="1">
      <c r="B21" s="48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112"/>
    </row>
    <row r="22" spans="1:15" ht="14.25" customHeight="1" thickBot="1">
      <c r="B22" s="48"/>
      <c r="C22" s="61" t="s">
        <v>30</v>
      </c>
      <c r="D22" s="49" t="s">
        <v>31</v>
      </c>
      <c r="E22" s="49"/>
      <c r="F22" s="49"/>
      <c r="G22" s="47"/>
      <c r="H22" s="47"/>
      <c r="I22" s="47"/>
      <c r="J22" s="47"/>
      <c r="K22" s="47"/>
      <c r="L22" s="47"/>
      <c r="M22" s="47"/>
      <c r="N22" s="112"/>
    </row>
    <row r="23" spans="1:15" ht="14.25" customHeight="1" thickBot="1">
      <c r="B23" s="48"/>
      <c r="C23" s="47"/>
      <c r="D23" s="47"/>
      <c r="E23" s="86">
        <f>N20</f>
        <v>100</v>
      </c>
      <c r="F23" s="87" t="s">
        <v>32</v>
      </c>
      <c r="G23" s="88">
        <v>0.8</v>
      </c>
      <c r="H23" s="125" t="s">
        <v>33</v>
      </c>
      <c r="I23" s="108">
        <f>G23*E23</f>
        <v>80</v>
      </c>
      <c r="L23" s="47"/>
      <c r="M23" s="47"/>
      <c r="N23" s="112"/>
    </row>
    <row r="24" spans="1:15" ht="4.5" customHeight="1" thickBot="1">
      <c r="B24" s="48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112"/>
    </row>
    <row r="25" spans="1:15" ht="20.45" customHeight="1">
      <c r="B25" s="62" t="s">
        <v>34</v>
      </c>
      <c r="C25" s="63"/>
      <c r="D25" s="64"/>
      <c r="E25" s="21"/>
      <c r="F25" s="64"/>
      <c r="G25" s="89"/>
      <c r="H25" s="64"/>
      <c r="I25" s="64"/>
      <c r="J25" s="64"/>
      <c r="K25" s="64"/>
      <c r="L25" s="64"/>
      <c r="M25" s="64"/>
      <c r="N25" s="119"/>
    </row>
    <row r="26" spans="1:15" ht="6" customHeight="1" thickBot="1">
      <c r="B26" s="65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120"/>
    </row>
    <row r="27" spans="1:15" ht="14.25" customHeight="1" thickBot="1">
      <c r="B27" s="65"/>
      <c r="E27" s="90" t="s">
        <v>13</v>
      </c>
      <c r="F27" s="215" t="s">
        <v>35</v>
      </c>
      <c r="G27" s="197"/>
      <c r="H27" s="91" t="s">
        <v>16</v>
      </c>
      <c r="I27" s="109" t="s">
        <v>36</v>
      </c>
      <c r="J27" s="215" t="s">
        <v>37</v>
      </c>
      <c r="K27" s="197"/>
      <c r="N27" s="120"/>
    </row>
    <row r="28" spans="1:15" ht="14.25" customHeight="1">
      <c r="A28" s="55"/>
      <c r="B28" s="65"/>
      <c r="E28" s="92">
        <v>1</v>
      </c>
      <c r="F28" s="216" t="s">
        <v>38</v>
      </c>
      <c r="G28" s="217"/>
      <c r="H28" s="93">
        <v>0.25</v>
      </c>
      <c r="I28" s="92">
        <v>80</v>
      </c>
      <c r="J28" s="218">
        <f t="shared" ref="J28:J31" si="2">H28*I28</f>
        <v>20</v>
      </c>
      <c r="K28" s="217"/>
      <c r="N28" s="120"/>
    </row>
    <row r="29" spans="1:15" ht="14.25" customHeight="1">
      <c r="A29" s="55"/>
      <c r="B29" s="65"/>
      <c r="E29" s="94">
        <v>2</v>
      </c>
      <c r="F29" s="214" t="s">
        <v>39</v>
      </c>
      <c r="G29" s="212"/>
      <c r="H29" s="82">
        <v>0.25</v>
      </c>
      <c r="I29" s="94">
        <v>90</v>
      </c>
      <c r="J29" s="213">
        <f t="shared" si="2"/>
        <v>22.5</v>
      </c>
      <c r="K29" s="212"/>
      <c r="N29" s="120"/>
    </row>
    <row r="30" spans="1:15" ht="14.25" customHeight="1">
      <c r="B30" s="65"/>
      <c r="E30" s="94">
        <v>3</v>
      </c>
      <c r="F30" s="211" t="s">
        <v>40</v>
      </c>
      <c r="G30" s="212"/>
      <c r="H30" s="82">
        <v>0.25</v>
      </c>
      <c r="I30" s="94">
        <v>90</v>
      </c>
      <c r="J30" s="213">
        <f t="shared" si="2"/>
        <v>22.5</v>
      </c>
      <c r="K30" s="212"/>
      <c r="N30" s="120"/>
    </row>
    <row r="31" spans="1:15" ht="14.25" customHeight="1">
      <c r="A31" s="55"/>
      <c r="B31" s="65"/>
      <c r="E31" s="94">
        <v>4</v>
      </c>
      <c r="F31" s="214" t="s">
        <v>41</v>
      </c>
      <c r="G31" s="212"/>
      <c r="H31" s="82">
        <v>0.25</v>
      </c>
      <c r="I31" s="94">
        <v>85</v>
      </c>
      <c r="J31" s="213">
        <f t="shared" si="2"/>
        <v>21.25</v>
      </c>
      <c r="K31" s="212"/>
      <c r="N31" s="120"/>
    </row>
    <row r="32" spans="1:15" ht="14.25" customHeight="1">
      <c r="A32" s="55"/>
      <c r="B32" s="65"/>
      <c r="E32" s="94"/>
      <c r="F32" s="95"/>
      <c r="G32" s="96"/>
      <c r="H32" s="82"/>
      <c r="I32" s="94"/>
      <c r="J32" s="213"/>
      <c r="K32" s="212"/>
      <c r="N32" s="120"/>
    </row>
    <row r="33" spans="1:14" ht="14.25" customHeight="1" thickBot="1">
      <c r="B33" s="65"/>
      <c r="E33" s="94"/>
      <c r="F33" s="191"/>
      <c r="G33" s="192"/>
      <c r="H33" s="82"/>
      <c r="I33" s="94"/>
      <c r="J33" s="193"/>
      <c r="K33" s="194"/>
      <c r="N33" s="120"/>
    </row>
    <row r="34" spans="1:14" ht="14.25" customHeight="1" thickBot="1">
      <c r="A34" s="55"/>
      <c r="B34" s="65"/>
      <c r="E34" s="195" t="s">
        <v>42</v>
      </c>
      <c r="F34" s="196"/>
      <c r="G34" s="197"/>
      <c r="H34" s="97">
        <f>SUM(H28:H33)</f>
        <v>1</v>
      </c>
      <c r="I34" s="90" t="s">
        <v>29</v>
      </c>
      <c r="J34" s="198">
        <f>SUM(J28:J33)</f>
        <v>86.25</v>
      </c>
      <c r="K34" s="197"/>
      <c r="N34" s="120"/>
    </row>
    <row r="35" spans="1:14" ht="8.25" customHeight="1">
      <c r="B35" s="65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120"/>
    </row>
    <row r="36" spans="1:14" ht="14.25" customHeight="1" thickBot="1">
      <c r="B36" s="65"/>
      <c r="C36" s="61" t="s">
        <v>43</v>
      </c>
      <c r="D36" s="49" t="s">
        <v>31</v>
      </c>
      <c r="E36" s="49"/>
      <c r="F36" s="49"/>
      <c r="G36" s="47"/>
      <c r="H36" s="47"/>
      <c r="I36" s="47"/>
      <c r="J36" s="47"/>
      <c r="K36" s="47"/>
      <c r="L36" s="47"/>
      <c r="M36" s="47"/>
      <c r="N36" s="120"/>
    </row>
    <row r="37" spans="1:14" ht="14.25" customHeight="1" thickBot="1">
      <c r="B37" s="65"/>
      <c r="C37" s="47"/>
      <c r="D37" s="47"/>
      <c r="E37" s="98">
        <f>J34</f>
        <v>86.25</v>
      </c>
      <c r="F37" s="87" t="s">
        <v>32</v>
      </c>
      <c r="G37" s="88">
        <v>0.2</v>
      </c>
      <c r="H37" s="125" t="s">
        <v>33</v>
      </c>
      <c r="I37" s="110">
        <f>G37*E37</f>
        <v>17.25</v>
      </c>
      <c r="L37" s="47"/>
      <c r="M37" s="47"/>
      <c r="N37" s="120"/>
    </row>
    <row r="38" spans="1:14" ht="9.75" customHeight="1" thickBot="1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121"/>
    </row>
    <row r="39" spans="1:14" ht="5.25" customHeight="1">
      <c r="B39" s="48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112"/>
    </row>
    <row r="40" spans="1:14" ht="14.25" customHeight="1" thickBot="1">
      <c r="B40" s="48"/>
      <c r="C40" s="51" t="s">
        <v>44</v>
      </c>
      <c r="D40" s="68"/>
      <c r="E40" s="68"/>
      <c r="F40" s="68"/>
      <c r="G40" s="68"/>
      <c r="H40" s="68"/>
      <c r="I40" s="68"/>
      <c r="J40" s="68"/>
      <c r="K40" s="68"/>
      <c r="L40" s="68"/>
      <c r="M40" s="47"/>
      <c r="N40" s="112"/>
    </row>
    <row r="41" spans="1:14" s="17" customFormat="1" ht="24.6" customHeight="1" thickBot="1">
      <c r="B41" s="69"/>
      <c r="C41" s="70" t="s">
        <v>45</v>
      </c>
      <c r="D41" s="71"/>
      <c r="E41" s="71"/>
      <c r="F41" s="71"/>
      <c r="G41" s="71"/>
      <c r="H41" s="99">
        <f>I23</f>
        <v>80</v>
      </c>
      <c r="I41" s="126" t="s">
        <v>46</v>
      </c>
      <c r="J41" s="99">
        <f>I37</f>
        <v>17.25</v>
      </c>
      <c r="K41" s="126" t="s">
        <v>33</v>
      </c>
      <c r="L41" s="99">
        <f>H41+J41</f>
        <v>97.25</v>
      </c>
      <c r="M41" s="55"/>
      <c r="N41" s="122"/>
    </row>
    <row r="42" spans="1:14" ht="14.25" customHeight="1">
      <c r="B42" s="48"/>
      <c r="C42" s="51"/>
      <c r="D42" s="68"/>
      <c r="E42" s="68"/>
      <c r="F42" s="68"/>
      <c r="G42" s="68"/>
      <c r="H42" s="100"/>
      <c r="I42" s="111"/>
      <c r="J42" s="100"/>
      <c r="K42" s="111"/>
      <c r="L42" s="100"/>
      <c r="M42" s="47"/>
      <c r="N42" s="112"/>
    </row>
    <row r="43" spans="1:14" ht="14.25" customHeight="1">
      <c r="B43" s="48"/>
      <c r="C43" s="47" t="s">
        <v>47</v>
      </c>
      <c r="D43" s="47"/>
      <c r="F43" s="47"/>
      <c r="G43" s="73" t="s">
        <v>48</v>
      </c>
      <c r="H43" s="47"/>
      <c r="I43" s="47"/>
      <c r="J43" s="47"/>
      <c r="K43" s="47"/>
      <c r="L43" s="47"/>
      <c r="M43" s="47"/>
      <c r="N43" s="112"/>
    </row>
    <row r="44" spans="1:14" ht="14.25" customHeight="1">
      <c r="B44" s="48"/>
      <c r="C44" s="47"/>
      <c r="D44" s="47"/>
      <c r="F44" s="47"/>
      <c r="G44" s="47"/>
      <c r="H44" s="47"/>
      <c r="I44" s="47"/>
      <c r="J44" s="47"/>
      <c r="K44" s="47"/>
      <c r="L44" s="47"/>
      <c r="M44" s="47"/>
      <c r="N44" s="112"/>
    </row>
    <row r="45" spans="1:14" ht="14.25" customHeight="1">
      <c r="B45" s="48"/>
      <c r="C45" s="47"/>
      <c r="D45" s="47"/>
      <c r="F45" s="47"/>
      <c r="G45" s="47"/>
      <c r="H45" s="47"/>
      <c r="I45" s="47"/>
      <c r="J45" s="47"/>
      <c r="K45" s="47"/>
      <c r="L45" s="47"/>
      <c r="M45" s="47"/>
      <c r="N45" s="112"/>
    </row>
    <row r="46" spans="1:14" ht="14.25" customHeight="1">
      <c r="B46" s="48"/>
      <c r="C46" s="47"/>
      <c r="D46" s="47"/>
      <c r="F46" s="47"/>
      <c r="G46" s="47"/>
      <c r="H46" s="47"/>
      <c r="I46" s="47"/>
      <c r="J46" s="47"/>
      <c r="K46" s="47"/>
      <c r="L46" s="47"/>
      <c r="M46" s="47"/>
      <c r="N46" s="112"/>
    </row>
    <row r="47" spans="1:14" ht="14.25" customHeight="1">
      <c r="B47" s="48"/>
      <c r="C47" s="47"/>
      <c r="D47" s="47"/>
      <c r="F47" s="47"/>
      <c r="G47" s="47"/>
      <c r="H47" s="47"/>
      <c r="I47" s="47"/>
      <c r="J47" s="47"/>
      <c r="K47" s="47"/>
      <c r="L47" s="47"/>
      <c r="M47" s="47"/>
      <c r="N47" s="112"/>
    </row>
    <row r="48" spans="1:14" ht="14.25" customHeight="1">
      <c r="B48" s="48"/>
      <c r="C48" s="72"/>
      <c r="D48" s="72"/>
      <c r="F48" s="47"/>
      <c r="G48" s="72"/>
      <c r="H48" s="47"/>
      <c r="I48" s="47"/>
      <c r="J48" s="47"/>
      <c r="K48" s="47"/>
      <c r="L48" s="47"/>
      <c r="M48" s="47"/>
      <c r="N48" s="112"/>
    </row>
    <row r="49" spans="2:14" ht="14.25" customHeight="1">
      <c r="B49" s="48"/>
      <c r="C49" s="73" t="s">
        <v>49</v>
      </c>
      <c r="D49" s="47"/>
      <c r="F49" s="47"/>
      <c r="G49" s="47" t="s">
        <v>50</v>
      </c>
      <c r="H49" s="47"/>
      <c r="I49" s="47"/>
      <c r="J49" s="47"/>
      <c r="K49" s="47"/>
      <c r="L49" s="47"/>
      <c r="M49" s="47"/>
      <c r="N49" s="112"/>
    </row>
    <row r="50" spans="2:14" ht="12.75" customHeight="1" thickBot="1">
      <c r="B50" s="74"/>
      <c r="C50" s="75" t="s">
        <v>51</v>
      </c>
      <c r="D50" s="76"/>
      <c r="E50" s="76"/>
      <c r="F50" s="76"/>
      <c r="G50" s="76" t="s">
        <v>52</v>
      </c>
      <c r="H50" s="76"/>
      <c r="I50" s="76"/>
      <c r="J50" s="76"/>
      <c r="K50" s="76"/>
      <c r="L50" s="76"/>
      <c r="M50" s="76"/>
      <c r="N50" s="123"/>
    </row>
    <row r="51" spans="2:14" ht="14.25" hidden="1" customHeight="1">
      <c r="B51" s="74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123"/>
    </row>
    <row r="52" spans="2:14" ht="14.25" customHeight="1"/>
    <row r="53" spans="2:14" ht="14.25" customHeight="1"/>
    <row r="54" spans="2:14" ht="14.25" customHeight="1"/>
    <row r="55" spans="2:14" ht="14.25" customHeight="1"/>
    <row r="56" spans="2:14" ht="14.25" customHeight="1"/>
    <row r="57" spans="2:14" ht="14.25" customHeight="1"/>
    <row r="58" spans="2:14" ht="14.25" customHeight="1"/>
    <row r="59" spans="2:14" ht="14.25" customHeight="1"/>
    <row r="60" spans="2:14" ht="14.25" customHeight="1"/>
    <row r="61" spans="2:14" ht="14.25" customHeight="1"/>
    <row r="62" spans="2:14" ht="14.25" customHeight="1"/>
    <row r="63" spans="2:14" ht="14.25" customHeight="1"/>
    <row r="64" spans="2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</sheetData>
  <mergeCells count="26">
    <mergeCell ref="E34:G34"/>
    <mergeCell ref="J34:K34"/>
    <mergeCell ref="F28:G28"/>
    <mergeCell ref="J28:K28"/>
    <mergeCell ref="F29:G29"/>
    <mergeCell ref="J29:K29"/>
    <mergeCell ref="F30:G30"/>
    <mergeCell ref="J30:K30"/>
    <mergeCell ref="F31:G31"/>
    <mergeCell ref="J31:K31"/>
    <mergeCell ref="J32:K32"/>
    <mergeCell ref="F33:G33"/>
    <mergeCell ref="J33:K33"/>
    <mergeCell ref="J27:K27"/>
    <mergeCell ref="B2:M5"/>
    <mergeCell ref="N2:N5"/>
    <mergeCell ref="E15:G15"/>
    <mergeCell ref="C16:D16"/>
    <mergeCell ref="E16:G16"/>
    <mergeCell ref="C17:D17"/>
    <mergeCell ref="E17:G17"/>
    <mergeCell ref="C18:D18"/>
    <mergeCell ref="E18:G18"/>
    <mergeCell ref="C19:D19"/>
    <mergeCell ref="C20:G20"/>
    <mergeCell ref="F27:G27"/>
  </mergeCells>
  <pageMargins left="0.25" right="0.25" top="4.1666666666666699E-2" bottom="0.133333333333333" header="0" footer="0"/>
  <pageSetup paperSize="9" scale="80"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E1EBCCB4-1611-4816-8D76-C60D25B9363D}">
          <x14:formula1>
            <xm:f>Sheet2!$B$2:$B$3</xm:f>
          </x14:formula1>
          <xm:sqref>I16:I19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B2:Q36"/>
  <sheetViews>
    <sheetView tabSelected="1" zoomScale="89" zoomScaleNormal="80" workbookViewId="0">
      <selection activeCell="H18" sqref="H18"/>
    </sheetView>
  </sheetViews>
  <sheetFormatPr defaultColWidth="9" defaultRowHeight="15"/>
  <cols>
    <col min="3" max="3" width="19.42578125" customWidth="1"/>
    <col min="4" max="4" width="12" customWidth="1"/>
    <col min="5" max="5" width="13.140625" customWidth="1"/>
    <col min="7" max="7" width="27.28515625" customWidth="1"/>
    <col min="8" max="8" width="19.7109375" style="18" bestFit="1" customWidth="1"/>
    <col min="9" max="9" width="35.5703125" bestFit="1" customWidth="1"/>
    <col min="10" max="10" width="13.28515625" customWidth="1"/>
    <col min="16" max="16" width="47.42578125" customWidth="1"/>
  </cols>
  <sheetData>
    <row r="2" spans="2:16" ht="21">
      <c r="B2" s="19" t="s">
        <v>96</v>
      </c>
    </row>
    <row r="3" spans="2:16">
      <c r="B3" s="20"/>
      <c r="C3" s="21"/>
      <c r="D3" s="22" t="s">
        <v>97</v>
      </c>
      <c r="E3" s="21"/>
      <c r="F3" s="21"/>
      <c r="G3" s="21"/>
      <c r="H3" s="33" t="s">
        <v>97</v>
      </c>
      <c r="I3" s="33" t="s">
        <v>97</v>
      </c>
      <c r="J3" s="42"/>
      <c r="L3" s="31" t="s">
        <v>98</v>
      </c>
    </row>
    <row r="4" spans="2:16">
      <c r="B4" s="23"/>
      <c r="H4" s="34"/>
      <c r="I4" s="34"/>
      <c r="J4" s="43"/>
      <c r="K4">
        <v>1</v>
      </c>
      <c r="L4" s="45" t="s">
        <v>99</v>
      </c>
      <c r="M4" s="45"/>
      <c r="N4" s="45"/>
      <c r="O4" s="45"/>
      <c r="P4" s="45"/>
    </row>
    <row r="5" spans="2:16">
      <c r="B5" s="23"/>
      <c r="C5" s="24" t="s">
        <v>100</v>
      </c>
      <c r="G5" s="24" t="s">
        <v>101</v>
      </c>
      <c r="H5" s="34"/>
      <c r="I5" s="34"/>
      <c r="J5" s="43"/>
      <c r="L5" s="45" t="s">
        <v>102</v>
      </c>
      <c r="M5" s="45"/>
      <c r="N5" s="45"/>
      <c r="O5" s="45"/>
      <c r="P5" s="45"/>
    </row>
    <row r="6" spans="2:16">
      <c r="B6" s="23"/>
      <c r="C6" s="25" t="s">
        <v>6</v>
      </c>
      <c r="D6" s="25" t="s">
        <v>103</v>
      </c>
      <c r="G6" s="35" t="s">
        <v>104</v>
      </c>
      <c r="H6" s="36" t="s">
        <v>105</v>
      </c>
      <c r="I6" s="35" t="s">
        <v>106</v>
      </c>
      <c r="J6" s="43"/>
      <c r="L6" s="45" t="s">
        <v>107</v>
      </c>
      <c r="M6" s="45"/>
      <c r="N6" s="45"/>
      <c r="O6" s="45"/>
      <c r="P6" s="45"/>
    </row>
    <row r="7" spans="2:16">
      <c r="B7" s="23"/>
      <c r="C7" s="8" t="s">
        <v>7</v>
      </c>
      <c r="D7" s="175">
        <v>0.02</v>
      </c>
      <c r="G7" s="28" t="s">
        <v>108</v>
      </c>
      <c r="H7" s="37">
        <v>500000000</v>
      </c>
      <c r="I7" s="176">
        <v>1.6</v>
      </c>
      <c r="J7" s="43"/>
      <c r="L7" s="45" t="s">
        <v>109</v>
      </c>
      <c r="M7" s="45"/>
      <c r="N7" s="45"/>
      <c r="O7" s="45"/>
      <c r="P7" s="45"/>
    </row>
    <row r="8" spans="2:16">
      <c r="B8" s="23"/>
      <c r="C8" s="8" t="s">
        <v>54</v>
      </c>
      <c r="D8" s="175">
        <v>0.08</v>
      </c>
      <c r="G8" s="28" t="s">
        <v>110</v>
      </c>
      <c r="H8" s="37">
        <v>300000000</v>
      </c>
      <c r="I8" s="176">
        <v>1.3</v>
      </c>
      <c r="J8" s="43"/>
      <c r="K8">
        <v>2</v>
      </c>
      <c r="L8" t="s">
        <v>111</v>
      </c>
    </row>
    <row r="9" spans="2:16">
      <c r="B9" s="23"/>
      <c r="C9" s="8" t="s">
        <v>64</v>
      </c>
      <c r="D9" s="175">
        <v>7.0000000000000007E-2</v>
      </c>
      <c r="G9" s="28" t="s">
        <v>112</v>
      </c>
      <c r="H9" s="37">
        <v>200000000</v>
      </c>
      <c r="I9" s="176">
        <v>1</v>
      </c>
      <c r="J9" s="43"/>
      <c r="K9">
        <v>3</v>
      </c>
      <c r="L9" t="s">
        <v>113</v>
      </c>
    </row>
    <row r="10" spans="2:16" ht="18.75">
      <c r="B10" s="23"/>
      <c r="C10" s="8" t="s">
        <v>72</v>
      </c>
      <c r="D10" s="175">
        <v>0.08</v>
      </c>
      <c r="G10" s="38" t="s">
        <v>185</v>
      </c>
      <c r="H10" s="183">
        <f>SUM('Head of Sales (Yadi)'!L16+'Sales Staff (Sanjaya)'!L16+'Sales Staff (2)'!L16)</f>
        <v>133716920</v>
      </c>
      <c r="I10" s="31" t="s">
        <v>186</v>
      </c>
      <c r="J10" s="43"/>
      <c r="K10">
        <v>4</v>
      </c>
      <c r="L10" t="s">
        <v>114</v>
      </c>
    </row>
    <row r="11" spans="2:16">
      <c r="B11" s="23"/>
      <c r="C11" s="8" t="s">
        <v>73</v>
      </c>
      <c r="D11" s="175">
        <v>0.1</v>
      </c>
      <c r="G11" s="28" t="s">
        <v>189</v>
      </c>
      <c r="H11" s="180">
        <f>SUM('Bonus Project'!G4:G7)</f>
        <v>14701861</v>
      </c>
      <c r="I11" s="31" t="s">
        <v>192</v>
      </c>
      <c r="J11" s="43"/>
    </row>
    <row r="12" spans="2:16">
      <c r="B12" s="23"/>
      <c r="C12" s="8" t="s">
        <v>74</v>
      </c>
      <c r="D12" s="175">
        <v>7.0000000000000007E-2</v>
      </c>
      <c r="G12" s="28" t="s">
        <v>190</v>
      </c>
      <c r="H12" s="180">
        <f>SUM('Bonus Project'!H4:H7)</f>
        <v>0</v>
      </c>
      <c r="I12" s="31" t="s">
        <v>192</v>
      </c>
      <c r="J12" s="43"/>
    </row>
    <row r="13" spans="2:16" ht="15.75" thickBot="1">
      <c r="B13" s="23"/>
      <c r="C13" s="8" t="s">
        <v>82</v>
      </c>
      <c r="D13" s="175">
        <v>0.15</v>
      </c>
      <c r="G13" s="28" t="s">
        <v>191</v>
      </c>
      <c r="H13" s="181">
        <f>SUM('Bonus Project'!I4:I7)</f>
        <v>14500000</v>
      </c>
      <c r="I13" s="31" t="s">
        <v>192</v>
      </c>
      <c r="J13" s="43"/>
    </row>
    <row r="14" spans="2:16" ht="21.75" thickBot="1">
      <c r="B14" s="23"/>
      <c r="C14" s="8" t="s">
        <v>84</v>
      </c>
      <c r="D14" s="175">
        <v>0.04</v>
      </c>
      <c r="E14" s="128"/>
      <c r="G14" s="31" t="s">
        <v>180</v>
      </c>
      <c r="H14" s="182">
        <f>H10-H11-H12-H13</f>
        <v>104515059</v>
      </c>
      <c r="J14" s="43"/>
    </row>
    <row r="15" spans="2:16">
      <c r="B15" s="23"/>
      <c r="C15" s="8" t="s">
        <v>89</v>
      </c>
      <c r="D15" s="175">
        <v>0.03</v>
      </c>
      <c r="E15" s="31" t="s">
        <v>97</v>
      </c>
      <c r="H15" s="39"/>
      <c r="J15" s="43"/>
    </row>
    <row r="16" spans="2:16">
      <c r="B16" s="23"/>
      <c r="H16" s="39"/>
      <c r="J16" s="43"/>
      <c r="L16" s="17"/>
      <c r="M16" s="17"/>
      <c r="N16" s="17"/>
      <c r="O16" s="17"/>
      <c r="P16" s="17"/>
    </row>
    <row r="17" spans="2:17">
      <c r="B17" s="23"/>
      <c r="C17" s="24" t="s">
        <v>115</v>
      </c>
      <c r="H17" s="39"/>
      <c r="J17" s="43"/>
      <c r="K17" s="17"/>
      <c r="Q17" s="17"/>
    </row>
    <row r="18" spans="2:17" s="17" customFormat="1" ht="30">
      <c r="B18" s="26"/>
      <c r="C18" s="6" t="s">
        <v>116</v>
      </c>
      <c r="D18" s="6" t="s">
        <v>117</v>
      </c>
      <c r="E18" s="9" t="s">
        <v>118</v>
      </c>
      <c r="G18"/>
      <c r="H18" s="39"/>
      <c r="J18" s="46"/>
      <c r="K18"/>
      <c r="L18"/>
      <c r="M18"/>
      <c r="N18"/>
      <c r="O18"/>
      <c r="P18"/>
      <c r="Q18"/>
    </row>
    <row r="19" spans="2:17">
      <c r="B19" s="23"/>
      <c r="C19" s="27" t="s">
        <v>119</v>
      </c>
      <c r="D19" s="14" t="s">
        <v>120</v>
      </c>
      <c r="E19" s="175">
        <v>1</v>
      </c>
      <c r="H19" s="39"/>
      <c r="J19" s="43"/>
    </row>
    <row r="20" spans="2:17">
      <c r="B20" s="23"/>
      <c r="C20" s="28" t="s">
        <v>121</v>
      </c>
      <c r="D20" s="14" t="s">
        <v>122</v>
      </c>
      <c r="E20" s="175">
        <v>0.75</v>
      </c>
      <c r="H20" s="39"/>
      <c r="J20" s="43"/>
    </row>
    <row r="21" spans="2:17">
      <c r="B21" s="23"/>
      <c r="C21" s="28" t="s">
        <v>123</v>
      </c>
      <c r="D21" s="14" t="s">
        <v>124</v>
      </c>
      <c r="E21" s="175">
        <v>0.6</v>
      </c>
      <c r="G21" s="17"/>
      <c r="H21" s="40"/>
      <c r="J21" s="43"/>
    </row>
    <row r="22" spans="2:17">
      <c r="B22" s="23"/>
      <c r="C22" s="28" t="s">
        <v>125</v>
      </c>
      <c r="D22" s="14" t="s">
        <v>126</v>
      </c>
      <c r="E22" s="175">
        <v>0</v>
      </c>
      <c r="H22" s="39"/>
      <c r="J22" s="43"/>
    </row>
    <row r="23" spans="2:17">
      <c r="B23" s="23"/>
      <c r="C23" s="28" t="s">
        <v>127</v>
      </c>
      <c r="D23" s="14" t="s">
        <v>128</v>
      </c>
      <c r="E23" s="175">
        <v>0</v>
      </c>
      <c r="H23" s="39"/>
      <c r="J23" s="43"/>
    </row>
    <row r="24" spans="2:17">
      <c r="B24" s="23"/>
      <c r="H24" s="39"/>
      <c r="J24" s="43"/>
    </row>
    <row r="25" spans="2:17">
      <c r="B25" s="29"/>
      <c r="C25" s="30"/>
      <c r="D25" s="30"/>
      <c r="E25" s="30"/>
      <c r="F25" s="30"/>
      <c r="G25" s="30"/>
      <c r="H25" s="41"/>
      <c r="I25" s="30"/>
      <c r="J25" s="44"/>
    </row>
    <row r="27" spans="2:17">
      <c r="B27" s="20"/>
      <c r="C27" s="21"/>
      <c r="D27" s="21"/>
      <c r="E27" s="42"/>
    </row>
    <row r="28" spans="2:17">
      <c r="B28" s="23"/>
      <c r="D28" s="31" t="s">
        <v>97</v>
      </c>
      <c r="E28" s="43"/>
    </row>
    <row r="29" spans="2:17">
      <c r="B29" s="23"/>
      <c r="E29" s="43"/>
    </row>
    <row r="30" spans="2:17">
      <c r="B30" s="23"/>
      <c r="C30" s="24" t="s">
        <v>129</v>
      </c>
      <c r="E30" s="43"/>
    </row>
    <row r="31" spans="2:17" ht="30">
      <c r="B31" s="23"/>
      <c r="C31" s="6" t="s">
        <v>130</v>
      </c>
      <c r="D31" s="32" t="s">
        <v>131</v>
      </c>
      <c r="E31" s="43"/>
    </row>
    <row r="32" spans="2:17">
      <c r="B32" s="23"/>
      <c r="C32" s="138">
        <v>120</v>
      </c>
      <c r="D32" s="177">
        <v>0.04</v>
      </c>
      <c r="E32" s="43"/>
    </row>
    <row r="33" spans="2:5">
      <c r="B33" s="23"/>
      <c r="C33" s="138">
        <v>100</v>
      </c>
      <c r="D33" s="177">
        <v>0.03</v>
      </c>
      <c r="E33" s="43"/>
    </row>
    <row r="34" spans="2:5">
      <c r="B34" s="23"/>
      <c r="C34" s="138">
        <v>80</v>
      </c>
      <c r="D34" s="177">
        <v>0.02</v>
      </c>
      <c r="E34" s="43"/>
    </row>
    <row r="35" spans="2:5">
      <c r="B35" s="23"/>
      <c r="C35" s="160">
        <v>80</v>
      </c>
      <c r="D35" s="177">
        <v>0.01</v>
      </c>
      <c r="E35" s="43"/>
    </row>
    <row r="36" spans="2:5">
      <c r="B36" s="29"/>
      <c r="C36" s="30"/>
      <c r="D36" s="30"/>
      <c r="E36" s="44"/>
    </row>
  </sheetData>
  <conditionalFormatting sqref="D19:D23">
    <cfRule type="containsText" dxfId="13" priority="1" operator="containsText" text="E">
      <formula>NOT(ISERROR(SEARCH("E",D19)))</formula>
    </cfRule>
    <cfRule type="containsText" dxfId="12" priority="2" operator="containsText" text="D">
      <formula>NOT(ISERROR(SEARCH("D",D19)))</formula>
    </cfRule>
    <cfRule type="containsText" dxfId="11" priority="3" operator="containsText" text="C">
      <formula>NOT(ISERROR(SEARCH("C",D19)))</formula>
    </cfRule>
    <cfRule type="containsText" dxfId="10" priority="4" operator="containsText" text="B">
      <formula>NOT(ISERROR(SEARCH("B",D19)))</formula>
    </cfRule>
    <cfRule type="containsText" dxfId="9" priority="5" operator="containsText" text="A">
      <formula>NOT(ISERROR(SEARCH("A",D19)))</formula>
    </cfRule>
    <cfRule type="containsText" dxfId="8" priority="6" operator="containsText" text="D">
      <formula>NOT(ISERROR(SEARCH("D",D19)))</formula>
    </cfRule>
    <cfRule type="containsText" dxfId="7" priority="7" operator="containsText" text="B">
      <formula>NOT(ISERROR(SEARCH("B",D19)))</formula>
    </cfRule>
    <cfRule type="colorScale" priority="8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D1D0-1537-4D88-AE0D-B302AA1FB8DC}">
  <dimension ref="B2:B3"/>
  <sheetViews>
    <sheetView workbookViewId="0">
      <selection activeCell="C3" sqref="C3"/>
    </sheetView>
  </sheetViews>
  <sheetFormatPr defaultRowHeight="15"/>
  <sheetData>
    <row r="2" spans="2:2">
      <c r="B2" t="s">
        <v>24</v>
      </c>
    </row>
    <row r="3" spans="2:2">
      <c r="B3" t="s">
        <v>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B2:S24"/>
  <sheetViews>
    <sheetView topLeftCell="C1" zoomScale="86" zoomScaleNormal="70" workbookViewId="0">
      <selection activeCell="L18" sqref="L18"/>
    </sheetView>
  </sheetViews>
  <sheetFormatPr defaultColWidth="9" defaultRowHeight="15"/>
  <cols>
    <col min="2" max="2" width="6.28515625" style="4" customWidth="1"/>
    <col min="3" max="3" width="15" customWidth="1"/>
    <col min="4" max="4" width="19.42578125" bestFit="1" customWidth="1"/>
    <col min="5" max="5" width="16.42578125" bestFit="1" customWidth="1"/>
    <col min="6" max="6" width="16.85546875" customWidth="1"/>
    <col min="7" max="11" width="15.28515625" customWidth="1"/>
    <col min="12" max="12" width="14.7109375" customWidth="1"/>
    <col min="13" max="13" width="15.28515625" customWidth="1"/>
    <col min="14" max="14" width="14.28515625" bestFit="1" customWidth="1"/>
    <col min="15" max="16" width="13" bestFit="1" customWidth="1"/>
    <col min="18" max="18" width="11.42578125" bestFit="1" customWidth="1"/>
  </cols>
  <sheetData>
    <row r="2" spans="2:19">
      <c r="B2" s="5" t="s">
        <v>139</v>
      </c>
      <c r="G2" s="262" t="s">
        <v>181</v>
      </c>
      <c r="H2" s="262"/>
      <c r="I2" s="262"/>
    </row>
    <row r="3" spans="2:19" s="3" customFormat="1" ht="30">
      <c r="B3" s="6" t="s">
        <v>13</v>
      </c>
      <c r="C3" s="6" t="s">
        <v>133</v>
      </c>
      <c r="D3" s="6" t="s">
        <v>6</v>
      </c>
      <c r="E3" s="6" t="s">
        <v>140</v>
      </c>
      <c r="F3" s="9" t="s">
        <v>193</v>
      </c>
      <c r="G3" s="6" t="s">
        <v>182</v>
      </c>
      <c r="H3" s="6" t="s">
        <v>183</v>
      </c>
      <c r="I3" s="9" t="s">
        <v>184</v>
      </c>
      <c r="J3" s="6" t="s">
        <v>180</v>
      </c>
      <c r="K3" s="9" t="s">
        <v>141</v>
      </c>
      <c r="L3" s="6" t="s">
        <v>142</v>
      </c>
      <c r="M3" s="6" t="s">
        <v>143</v>
      </c>
      <c r="N3" s="131" t="s">
        <v>148</v>
      </c>
      <c r="P3" s="188" t="s">
        <v>197</v>
      </c>
    </row>
    <row r="4" spans="2:19">
      <c r="B4" s="7">
        <v>1</v>
      </c>
      <c r="C4" s="8" t="str">
        <f>'Head of Sales (Yadi)'!E10</f>
        <v>Yadi</v>
      </c>
      <c r="D4" s="8" t="s">
        <v>54</v>
      </c>
      <c r="E4" s="10">
        <f>'Head of Sales (Yadi)'!J16</f>
        <v>200000000</v>
      </c>
      <c r="F4" s="11">
        <f>'Head of Sales (Yadi)'!L16</f>
        <v>133716920</v>
      </c>
      <c r="G4" s="11">
        <v>14701861</v>
      </c>
      <c r="H4" s="11">
        <v>0</v>
      </c>
      <c r="I4" s="11">
        <v>14500000</v>
      </c>
      <c r="J4" s="11">
        <f>F4-G4-H4-I4</f>
        <v>104515059</v>
      </c>
      <c r="K4" s="136">
        <f>F4/E4*100</f>
        <v>66.858459999999994</v>
      </c>
      <c r="L4" s="161">
        <f>SUMIF(D4:D6,"Sales Staff",M4:M6)*5%</f>
        <v>0</v>
      </c>
      <c r="M4" s="11">
        <f>IF(K4&gt;='Main T&amp;C'!$C$32,J4*'Main T&amp;C'!$D$32,IF(K4&gt;'Main T&amp;C'!$C$33,J4*'Main T&amp;C'!$D$33,IF(K4&gt;'Main T&amp;C'!$C$34,J4*'Main T&amp;C'!$D$34,IF(K4&lt;='Main T&amp;C'!$C$35,J4*'Main T&amp;C'!$D$35,0))))</f>
        <v>1045150.59</v>
      </c>
      <c r="N4" s="139">
        <f>L4+M4</f>
        <v>1045150.59</v>
      </c>
      <c r="O4" s="18"/>
      <c r="P4" s="189" t="s">
        <v>198</v>
      </c>
      <c r="Q4" s="18"/>
      <c r="S4" s="16"/>
    </row>
    <row r="5" spans="2:19">
      <c r="B5" s="7">
        <v>2</v>
      </c>
      <c r="C5" s="8" t="str">
        <f>'Sales Staff (Sanjaya)'!E10</f>
        <v>Sanjaya</v>
      </c>
      <c r="D5" s="8" t="s">
        <v>82</v>
      </c>
      <c r="E5" s="10">
        <f>'Sales Staff (Sanjaya)'!J16</f>
        <v>200000000</v>
      </c>
      <c r="F5" s="11">
        <f>'Sales Staff (Sanjaya)'!L16</f>
        <v>0</v>
      </c>
      <c r="G5" s="11">
        <v>0</v>
      </c>
      <c r="H5" s="11">
        <v>0</v>
      </c>
      <c r="I5" s="11">
        <v>0</v>
      </c>
      <c r="J5" s="11">
        <f>F5-G5-H5-I5</f>
        <v>0</v>
      </c>
      <c r="K5" s="136">
        <f>F5/E5*100</f>
        <v>0</v>
      </c>
      <c r="L5" s="12">
        <v>0</v>
      </c>
      <c r="M5" s="11">
        <f>IF(K5&gt;='Main T&amp;C'!$C$32,F5*'Main T&amp;C'!$D$32,IF(K5&gt;'Main T&amp;C'!$C$33,F5*'Main T&amp;C'!$D$33,IF(K5&gt;'Main T&amp;C'!$C$34,F5*'Main T&amp;C'!$D$34,IF(K5&lt;='Main T&amp;C'!$C$35,F5*'Main T&amp;C'!$D$35,0))))</f>
        <v>0</v>
      </c>
      <c r="N5" s="139">
        <f>L5+M5</f>
        <v>0</v>
      </c>
      <c r="P5" s="190" t="s">
        <v>199</v>
      </c>
    </row>
    <row r="6" spans="2:19">
      <c r="B6" s="7"/>
      <c r="C6" s="8"/>
      <c r="D6" s="8"/>
      <c r="E6" s="8"/>
      <c r="F6" s="8"/>
      <c r="G6" s="8"/>
      <c r="H6" s="8"/>
      <c r="I6" s="8"/>
      <c r="J6" s="8"/>
      <c r="K6" s="137"/>
      <c r="L6" s="8"/>
      <c r="M6" s="8"/>
      <c r="N6" s="139"/>
      <c r="P6" s="190" t="s">
        <v>200</v>
      </c>
    </row>
    <row r="7" spans="2:19">
      <c r="B7" s="7"/>
      <c r="C7" s="8"/>
      <c r="D7" s="8"/>
      <c r="E7" s="8"/>
      <c r="F7" s="8"/>
      <c r="G7" s="8"/>
      <c r="H7" s="8"/>
      <c r="I7" s="8"/>
      <c r="J7" s="8"/>
      <c r="K7" s="137"/>
      <c r="L7" s="8"/>
      <c r="M7" s="8"/>
      <c r="N7" s="139"/>
    </row>
    <row r="8" spans="2:19">
      <c r="E8" s="134">
        <f>SUM(E4:E7)</f>
        <v>400000000</v>
      </c>
      <c r="F8" s="134">
        <f>SUM(F4:F7)</f>
        <v>133716920</v>
      </c>
      <c r="K8" s="134">
        <f>SUM(L4:L7)</f>
        <v>0</v>
      </c>
      <c r="L8" s="134">
        <f>SUM(M4:M7)</f>
        <v>1045150.59</v>
      </c>
      <c r="M8" s="134">
        <f>SUM(N4:N7)</f>
        <v>1045150.59</v>
      </c>
    </row>
    <row r="10" spans="2:19">
      <c r="B10" s="129" t="s">
        <v>150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</row>
    <row r="11" spans="2:19" ht="30">
      <c r="B11" s="6" t="s">
        <v>13</v>
      </c>
      <c r="C11" s="6" t="s">
        <v>133</v>
      </c>
      <c r="D11" s="6" t="s">
        <v>6</v>
      </c>
      <c r="E11" s="131" t="s">
        <v>146</v>
      </c>
      <c r="F11" s="132" t="s">
        <v>147</v>
      </c>
    </row>
    <row r="12" spans="2:19">
      <c r="B12" s="7">
        <v>1</v>
      </c>
      <c r="C12" s="8" t="str">
        <f>'Head of Engineering (Arie)'!E10</f>
        <v>Arie Putra</v>
      </c>
      <c r="D12" s="8" t="str">
        <f>'Head of Engineering (Arie)'!E9</f>
        <v>Head of Engineering</v>
      </c>
      <c r="E12" s="178">
        <v>0.05</v>
      </c>
      <c r="F12" s="11">
        <f>SUM($M$4:$M$5)*E12</f>
        <v>52257.529500000004</v>
      </c>
    </row>
    <row r="13" spans="2:19">
      <c r="B13" s="7">
        <v>2</v>
      </c>
      <c r="C13" s="8" t="str">
        <f>'Engineering Staff (Evan)'!E10</f>
        <v>Evan</v>
      </c>
      <c r="D13" s="8" t="str">
        <f>'Engineering Staff (Evan)'!E9</f>
        <v>Engineering Staff</v>
      </c>
      <c r="E13" s="178">
        <v>0.05</v>
      </c>
      <c r="F13" s="11">
        <f>SUM($M$4:$M$5)*E13</f>
        <v>52257.529500000004</v>
      </c>
    </row>
    <row r="14" spans="2:19">
      <c r="B14" s="7">
        <v>3</v>
      </c>
      <c r="C14" s="8" t="str">
        <f>'Engineering Staff (Jeremia)'!E10</f>
        <v>Jeremia</v>
      </c>
      <c r="D14" s="8" t="str">
        <f>'Engineering Staff (Jeremia)'!E9</f>
        <v>Engineering Staff</v>
      </c>
      <c r="E14" s="178">
        <v>0.05</v>
      </c>
      <c r="F14" s="11">
        <f>SUM($M$4:$M$5)*E14</f>
        <v>52257.529500000004</v>
      </c>
    </row>
    <row r="15" spans="2:19">
      <c r="F15" s="185">
        <f>SUM(F12:F14)</f>
        <v>156772.58850000001</v>
      </c>
    </row>
    <row r="17" spans="14:18">
      <c r="N17" s="144"/>
      <c r="O17" s="130"/>
      <c r="P17" s="130"/>
      <c r="Q17" s="130"/>
      <c r="R17" s="130"/>
    </row>
    <row r="18" spans="14:18">
      <c r="N18" s="144"/>
      <c r="O18" s="144"/>
      <c r="P18" s="130"/>
      <c r="Q18" s="130"/>
      <c r="R18" s="144"/>
    </row>
    <row r="19" spans="14:18">
      <c r="N19" s="130"/>
      <c r="O19" s="144"/>
      <c r="P19" s="130"/>
      <c r="Q19" s="130"/>
      <c r="R19" s="130"/>
    </row>
    <row r="20" spans="14:18">
      <c r="N20" s="130"/>
      <c r="O20" s="144"/>
      <c r="P20" s="130"/>
      <c r="Q20" s="130"/>
      <c r="R20" s="130"/>
    </row>
    <row r="21" spans="14:18">
      <c r="N21" s="144"/>
      <c r="O21" s="144"/>
      <c r="P21" s="130"/>
      <c r="Q21" s="130"/>
      <c r="R21" s="144"/>
    </row>
    <row r="22" spans="14:18">
      <c r="N22" s="130"/>
      <c r="O22" s="144"/>
      <c r="P22" s="130"/>
      <c r="Q22" s="130"/>
      <c r="R22" s="130"/>
    </row>
    <row r="23" spans="14:18">
      <c r="N23" s="130"/>
      <c r="O23" s="130"/>
      <c r="P23" s="130"/>
      <c r="Q23" s="130"/>
      <c r="R23" s="130"/>
    </row>
    <row r="24" spans="14:18">
      <c r="N24" s="130"/>
      <c r="O24" s="130"/>
      <c r="P24" s="130"/>
      <c r="Q24" s="130"/>
      <c r="R24" s="130"/>
    </row>
  </sheetData>
  <mergeCells count="1">
    <mergeCell ref="G2:I2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FF00"/>
  </sheetPr>
  <dimension ref="B1:Q24"/>
  <sheetViews>
    <sheetView zoomScale="95" zoomScaleNormal="70" workbookViewId="0">
      <pane xSplit="3" ySplit="3" topLeftCell="H4" activePane="bottomRight" state="frozen"/>
      <selection pane="topRight" activeCell="D1" sqref="D1"/>
      <selection pane="bottomLeft" activeCell="A4" sqref="A4"/>
      <selection pane="bottomRight" activeCell="K25" sqref="K25"/>
    </sheetView>
  </sheetViews>
  <sheetFormatPr defaultColWidth="9" defaultRowHeight="15"/>
  <cols>
    <col min="2" max="2" width="5.85546875" style="34" customWidth="1"/>
    <col min="3" max="3" width="19.5703125" customWidth="1"/>
    <col min="4" max="4" width="24.140625" customWidth="1"/>
    <col min="5" max="5" width="12" bestFit="1" customWidth="1"/>
    <col min="6" max="6" width="10.7109375" bestFit="1" customWidth="1"/>
    <col min="7" max="7" width="13" customWidth="1"/>
    <col min="8" max="8" width="9.5703125" customWidth="1"/>
    <col min="9" max="9" width="17" customWidth="1"/>
    <col min="10" max="10" width="16.28515625" customWidth="1"/>
    <col min="11" max="11" width="17.7109375" customWidth="1"/>
    <col min="12" max="12" width="18.28515625" bestFit="1" customWidth="1"/>
    <col min="13" max="15" width="18.28515625" customWidth="1"/>
    <col min="17" max="17" width="17.85546875" customWidth="1"/>
  </cols>
  <sheetData>
    <row r="1" spans="2:17">
      <c r="J1" t="s">
        <v>168</v>
      </c>
    </row>
    <row r="2" spans="2:17" ht="18.75">
      <c r="B2" s="263" t="s">
        <v>132</v>
      </c>
      <c r="C2" s="263"/>
      <c r="D2" s="263"/>
      <c r="E2" s="263"/>
      <c r="F2" s="263"/>
      <c r="G2" s="263"/>
      <c r="H2" s="263"/>
      <c r="I2" s="263"/>
      <c r="J2" s="263"/>
      <c r="K2" s="263"/>
      <c r="N2" s="184" t="s">
        <v>187</v>
      </c>
      <c r="O2" s="145">
        <f>'Main T&amp;C'!H14</f>
        <v>104515059</v>
      </c>
    </row>
    <row r="3" spans="2:17" s="4" customFormat="1" ht="45">
      <c r="B3" s="6" t="s">
        <v>13</v>
      </c>
      <c r="C3" s="6" t="s">
        <v>133</v>
      </c>
      <c r="D3" s="6" t="s">
        <v>6</v>
      </c>
      <c r="E3" s="6" t="s">
        <v>134</v>
      </c>
      <c r="F3" s="6" t="s">
        <v>135</v>
      </c>
      <c r="G3" s="6" t="s">
        <v>136</v>
      </c>
      <c r="H3" s="146" t="s">
        <v>117</v>
      </c>
      <c r="I3" s="146" t="s">
        <v>137</v>
      </c>
      <c r="J3" s="147" t="s">
        <v>138</v>
      </c>
      <c r="K3" s="148" t="s">
        <v>149</v>
      </c>
      <c r="L3" s="147" t="s">
        <v>188</v>
      </c>
      <c r="M3" s="147" t="s">
        <v>153</v>
      </c>
      <c r="N3" s="148" t="s">
        <v>151</v>
      </c>
      <c r="O3" s="148" t="s">
        <v>152</v>
      </c>
      <c r="Q3" s="140"/>
    </row>
    <row r="4" spans="2:17" hidden="1">
      <c r="B4" s="14">
        <v>1</v>
      </c>
      <c r="C4" s="8" t="str">
        <f>'General Manager'!E10</f>
        <v>Rudi</v>
      </c>
      <c r="D4" s="8" t="str">
        <f>'General Manager'!E9</f>
        <v>General Manager</v>
      </c>
      <c r="E4" s="8" t="str">
        <f>'General Manager'!E8</f>
        <v>Management</v>
      </c>
      <c r="F4" s="8" t="str">
        <f>'General Manager'!E11</f>
        <v>Juli 2026</v>
      </c>
      <c r="G4" s="13">
        <f>'General Manager'!L41</f>
        <v>107.25</v>
      </c>
      <c r="H4" s="14" t="str">
        <f>IF(G4&gt;=95,'Main T&amp;C'!$D$19,IF(G4&gt;=85,'Main T&amp;C'!$D$20,IF(G4&gt;=75,'Main T&amp;C'!$D$21,IF(G4&gt;=65,'Main T&amp;C'!$D$22,IF(G4&lt;65,'Main T&amp;C'!$D$23)))))</f>
        <v>A</v>
      </c>
      <c r="I4" s="133">
        <v>20000000</v>
      </c>
      <c r="J4" s="15" t="str">
        <f>IF('Main T&amp;C'!$H$10&lt;'Main T&amp;C'!$H$9,"0",IF(D4="General Manager",'Main T&amp;C'!$D$7,IF(D4="Head of Sales",'Main T&amp;C'!$D$8,IF(D4="Head of Marketing",'Main T&amp;C'!$D$9,IF(D4="Head of Engineering",'Main T&amp;C'!$D$10,IF(D4="Engineering Staff",'Main T&amp;C'!$D$11,IF(D4="Sales Admin Staff",'Main T&amp;C'!$D$12,IF(D4="Sales Staff",'Main T&amp;C'!$D$13,IF(D4="Inventory Control Staff",'Main T&amp;C'!$D$14,IF(D4="Office Boy",'Main T&amp;C'!$D$15))))))))))</f>
        <v>0</v>
      </c>
      <c r="K4" s="10">
        <f>IF(H4="A",I4*J4*'Main T&amp;C'!$E$19,IF(H4="B",I4*J4*'Main T&amp;C'!$E$20,IF(H4="C",I4*J4*'Main T&amp;C'!$E$21,IF(H4="D",I4*J4*'Main T&amp;C'!$E$22,IF(H4="E",I4*J4*0,0)))))*(IF('Main T&amp;C'!$H$10&gt;='Main T&amp;C'!$H$7,'Main T&amp;C'!$I$7,IF('Main T&amp;C'!$H$10&gt;='Main T&amp;C'!$H$8,'Main T&amp;C'!$I$8,IF('Main T&amp;C'!$H$10&gt;='Main T&amp;C'!$H$9,'Main T&amp;C'!$I$9,0))))</f>
        <v>0</v>
      </c>
      <c r="L4" s="11">
        <v>0</v>
      </c>
      <c r="M4" s="11">
        <v>0</v>
      </c>
      <c r="N4" s="135">
        <f>SUM(K4:M4)</f>
        <v>0</v>
      </c>
      <c r="O4" s="141">
        <f>N4/$O$2*100%</f>
        <v>0</v>
      </c>
    </row>
    <row r="5" spans="2:17">
      <c r="B5" s="14">
        <v>1</v>
      </c>
      <c r="C5" s="149" t="str">
        <f>'Head of Sales (Yadi)'!E10</f>
        <v>Yadi</v>
      </c>
      <c r="D5" s="8" t="str">
        <f>'Head of Sales (Yadi)'!E9</f>
        <v>Head of Sales</v>
      </c>
      <c r="E5" s="8" t="str">
        <f>'Head of Sales (Yadi)'!E8</f>
        <v>Sales</v>
      </c>
      <c r="F5" s="8" t="str">
        <f>'Head of Sales (Yadi)'!E11</f>
        <v>Juli 2026</v>
      </c>
      <c r="G5" s="13">
        <f>'Head of Sales (Yadi)'!L40</f>
        <v>79.657669714285717</v>
      </c>
      <c r="H5" s="14" t="str">
        <f>IF(G5&gt;=95,'Main T&amp;C'!$D$19,IF(G5&gt;=85,'Main T&amp;C'!$D$20,IF(G5&gt;=75,'Main T&amp;C'!$D$21,IF(G5&gt;=65,'Main T&amp;C'!$D$22,IF(G5&lt;65,'Main T&amp;C'!$D$23)))))</f>
        <v>C</v>
      </c>
      <c r="I5" s="179">
        <v>6000000</v>
      </c>
      <c r="J5" s="15" t="str">
        <f>IF('Main T&amp;C'!$H$10&lt;'Main T&amp;C'!$H$9,"0",IF(D5="General Manager",'Main T&amp;C'!$D$7,IF(D5="Head of Sales",'Main T&amp;C'!$D$8,IF(D5="Head of Marketing",'Main T&amp;C'!$D$9,IF(D5="Head of Engineering",'Main T&amp;C'!$D$10,IF(D5="Engineering Staff",'Main T&amp;C'!$D$11,IF(D5="Sales Admin Staff",'Main T&amp;C'!$D$12,IF(D5="Sales Staff",'Main T&amp;C'!$D$13,IF(D5="Inventory Control Staff",'Main T&amp;C'!$D$14,IF(D5="Office Boy",'Main T&amp;C'!$D$15))))))))))</f>
        <v>0</v>
      </c>
      <c r="K5" s="10">
        <f>IF(H5="A",I5*J5*'Main T&amp;C'!$E$19,IF(H5="B",I5*J5*'Main T&amp;C'!$E$20,IF(H5="C",I5*J5*'Main T&amp;C'!$E$21,IF(H5="D",I5*J5*'Main T&amp;C'!$E$22,IF(H5="E",I5*J5*0,0)))))*(IF('Main T&amp;C'!$H$10&gt;='Main T&amp;C'!$H$7,'Main T&amp;C'!$I$7,IF('Main T&amp;C'!$H$10&gt;='Main T&amp;C'!$H$8,'Main T&amp;C'!$I$8,IF('Main T&amp;C'!$H$10&gt;='Main T&amp;C'!$H$9,'Main T&amp;C'!$I$9,0))))</f>
        <v>0</v>
      </c>
      <c r="L5" s="161">
        <f>'Bonus Project'!M4</f>
        <v>1045150.59</v>
      </c>
      <c r="M5" s="161">
        <f>'Bonus Project'!L4</f>
        <v>0</v>
      </c>
      <c r="N5" s="135">
        <f t="shared" ref="N5:N14" si="0">SUM(K5:M5)</f>
        <v>1045150.59</v>
      </c>
      <c r="O5" s="141">
        <f t="shared" ref="O5:O14" si="1">N5/$O$2*100%</f>
        <v>0.01</v>
      </c>
    </row>
    <row r="6" spans="2:17">
      <c r="B6" s="14">
        <v>2</v>
      </c>
      <c r="C6" s="149" t="str">
        <f>'Sales Staff (Sanjaya)'!E10</f>
        <v>Sanjaya</v>
      </c>
      <c r="D6" s="8" t="str">
        <f>'Sales Staff (Sanjaya)'!E9</f>
        <v>Sales Staff</v>
      </c>
      <c r="E6" s="8" t="str">
        <f>'Sales Staff (Sanjaya)'!E8</f>
        <v>Sales</v>
      </c>
      <c r="F6" s="8" t="str">
        <f>'Sales Staff (Sanjaya)'!E11</f>
        <v>Juli 2026</v>
      </c>
      <c r="G6" s="13">
        <f>'Sales Staff (Sanjaya)'!L40</f>
        <v>40</v>
      </c>
      <c r="H6" s="14" t="str">
        <f>IF(G6&gt;=95,'Main T&amp;C'!$D$19,IF(G6&gt;=85,'Main T&amp;C'!$D$20,IF(G6&gt;=75,'Main T&amp;C'!$D$21,IF(G6&gt;=65,'Main T&amp;C'!$D$22,IF(G6&lt;65,'Main T&amp;C'!$D$23)))))</f>
        <v>E</v>
      </c>
      <c r="I6" s="179">
        <v>3000000</v>
      </c>
      <c r="J6" s="15" t="str">
        <f>IF('Main T&amp;C'!$H$10&lt;'Main T&amp;C'!$H$9,"0",IF(D6="General Manager",'Main T&amp;C'!$D$7,IF(D6="Head of Sales",'Main T&amp;C'!$D$8,IF(D6="Head of Marketing",'Main T&amp;C'!$D$9,IF(D6="Head of Engineering",'Main T&amp;C'!$D$10,IF(D6="Engineering Staff",'Main T&amp;C'!$D$11,IF(D6="Sales Admin Staff",'Main T&amp;C'!$D$12,IF(D6="Sales Staff",'Main T&amp;C'!$D$13,IF(D6="Inventory Control Staff",'Main T&amp;C'!$D$14,IF(D6="Office Boy",'Main T&amp;C'!$D$15))))))))))</f>
        <v>0</v>
      </c>
      <c r="K6" s="10">
        <f>IF(H6="A",I6*J6*'Main T&amp;C'!$E$19,IF(H6="B",I6*J6*'Main T&amp;C'!$E$20,IF(H6="C",I6*J6*'Main T&amp;C'!$E$21,IF(H6="D",I6*J6*'Main T&amp;C'!$E$22,IF(H6="E",I6*J6*0,0)))))*(IF('Main T&amp;C'!$H$10&gt;='Main T&amp;C'!$H$7,'Main T&amp;C'!$I$7,IF('Main T&amp;C'!$H$10&gt;='Main T&amp;C'!$H$8,'Main T&amp;C'!$I$8,IF('Main T&amp;C'!$H$10&gt;='Main T&amp;C'!$H$9,'Main T&amp;C'!$I$9,0))))</f>
        <v>0</v>
      </c>
      <c r="L6" s="161">
        <f>'Bonus Project'!M5</f>
        <v>0</v>
      </c>
      <c r="M6" s="11">
        <v>0</v>
      </c>
      <c r="N6" s="135">
        <f t="shared" si="0"/>
        <v>0</v>
      </c>
      <c r="O6" s="141">
        <f t="shared" si="1"/>
        <v>0</v>
      </c>
    </row>
    <row r="7" spans="2:17" hidden="1">
      <c r="B7" s="14">
        <v>4</v>
      </c>
      <c r="C7" s="8" t="str">
        <f>'Sales Staff (2)'!E10</f>
        <v>Sales 2</v>
      </c>
      <c r="D7" s="8" t="str">
        <f>'Sales Staff (2)'!E9</f>
        <v>Sales Staff</v>
      </c>
      <c r="E7" s="8" t="str">
        <f>'Sales Staff (2)'!E8</f>
        <v>Sales</v>
      </c>
      <c r="F7" s="8" t="str">
        <f>'Sales Staff (2)'!E11</f>
        <v>Mei 2026</v>
      </c>
      <c r="G7" s="13">
        <f>'Sales Staff (2)'!L41</f>
        <v>40.86904761904762</v>
      </c>
      <c r="H7" s="14" t="str">
        <f>IF(G7&gt;=95,'Main T&amp;C'!$D$19,IF(G7&gt;=85,'Main T&amp;C'!$D$20,IF(G7&gt;=75,'Main T&amp;C'!$D$21,IF(G7&gt;=65,'Main T&amp;C'!$D$22,IF(G7&lt;65,'Main T&amp;C'!$D$23)))))</f>
        <v>E</v>
      </c>
      <c r="I7" s="179">
        <v>4000000</v>
      </c>
      <c r="J7" s="15" t="str">
        <f>IF('Main T&amp;C'!$H$10&lt;'Main T&amp;C'!$H$9,"0",IF(D7="General Manager",'Main T&amp;C'!$D$7,IF(D7="Head of Sales",'Main T&amp;C'!$D$8,IF(D7="Head of Marketing",'Main T&amp;C'!$D$9,IF(D7="Head of Engineering",'Main T&amp;C'!$D$10,IF(D7="Engineering Staff",'Main T&amp;C'!$D$11,IF(D7="Sales Admin Staff",'Main T&amp;C'!$D$12,IF(D7="Sales Staff",'Main T&amp;C'!$D$13,IF(D7="Inventory Control Staff",'Main T&amp;C'!$D$14,IF(D7="Office Boy",'Main T&amp;C'!$D$15))))))))))</f>
        <v>0</v>
      </c>
      <c r="K7" s="10">
        <f>IF(H7="A",I7*J7*'Main T&amp;C'!$E$19,IF(H7="B",I7*J7*'Main T&amp;C'!$E$20,IF(H7="C",I7*J7*'Main T&amp;C'!$E$21,IF(H7="D",I7*J7*'Main T&amp;C'!$E$22,IF(H7="E",I7*J7*0,0)))))*(IF('Main T&amp;C'!$H$10&gt;='Main T&amp;C'!$H$7,'Main T&amp;C'!$I$7,IF('Main T&amp;C'!$H$10&gt;='Main T&amp;C'!$H$8,'Main T&amp;C'!$I$8,IF('Main T&amp;C'!$H$10&gt;='Main T&amp;C'!$H$9,'Main T&amp;C'!$I$9,0))))</f>
        <v>0</v>
      </c>
      <c r="L7" s="161">
        <f>'Bonus Project'!M6</f>
        <v>0</v>
      </c>
      <c r="M7" s="11">
        <v>0</v>
      </c>
      <c r="N7" s="135">
        <f t="shared" si="0"/>
        <v>0</v>
      </c>
      <c r="O7" s="141">
        <f t="shared" si="1"/>
        <v>0</v>
      </c>
    </row>
    <row r="8" spans="2:17" hidden="1">
      <c r="B8" s="14">
        <v>5</v>
      </c>
      <c r="C8" s="8">
        <f>'Head of Marketing'!E10</f>
        <v>0</v>
      </c>
      <c r="D8" s="8" t="str">
        <f>'Head of Marketing'!E9</f>
        <v>Head of Marketing</v>
      </c>
      <c r="E8" s="8" t="str">
        <f>'Head of Marketing'!E8</f>
        <v>Marketing</v>
      </c>
      <c r="F8" s="8" t="str">
        <f>'Head of Marketing'!E11</f>
        <v>Juli 2026</v>
      </c>
      <c r="G8" s="13">
        <f>'Head of Marketing'!L41</f>
        <v>97.25</v>
      </c>
      <c r="H8" s="14" t="str">
        <f>IF(G8&gt;=95,'Main T&amp;C'!$D$19,IF(G8&gt;=85,'Main T&amp;C'!$D$20,IF(G8&gt;=75,'Main T&amp;C'!$D$21,IF(G8&gt;=65,'Main T&amp;C'!$D$22,IF(G8&lt;65,'Main T&amp;C'!$D$23)))))</f>
        <v>A</v>
      </c>
      <c r="I8" s="179">
        <v>8000000</v>
      </c>
      <c r="J8" s="15" t="str">
        <f>IF('Main T&amp;C'!$H$10&lt;'Main T&amp;C'!$H$9,"0",IF(D8="General Manager",'Main T&amp;C'!$D$7,IF(D8="Head of Sales",'Main T&amp;C'!$D$8,IF(D8="Head of Marketing",'Main T&amp;C'!$D$9,IF(D8="Head of Engineering",'Main T&amp;C'!$D$10,IF(D8="Engineering Staff",'Main T&amp;C'!$D$11,IF(D8="Sales Admin Staff",'Main T&amp;C'!$D$12,IF(D8="Sales Staff",'Main T&amp;C'!$D$13,IF(D8="Inventory Control Staff",'Main T&amp;C'!$D$14,IF(D8="Office Boy",'Main T&amp;C'!$D$15))))))))))</f>
        <v>0</v>
      </c>
      <c r="K8" s="10">
        <f>IF(H8="A",I8*J8*'Main T&amp;C'!$E$19,IF(H8="B",I8*J8*'Main T&amp;C'!$E$20,IF(H8="C",I8*J8*'Main T&amp;C'!$E$21,IF(H8="D",I8*J8*'Main T&amp;C'!$E$22,IF(H8="E",I8*J8*0,0)))))*(IF('Main T&amp;C'!$H$10&gt;='Main T&amp;C'!$H$7,'Main T&amp;C'!$I$7,IF('Main T&amp;C'!$H$10&gt;='Main T&amp;C'!$H$8,'Main T&amp;C'!$I$8,IF('Main T&amp;C'!$H$10&gt;='Main T&amp;C'!$H$9,'Main T&amp;C'!$I$9,0))))</f>
        <v>0</v>
      </c>
      <c r="L8" s="11">
        <v>0</v>
      </c>
      <c r="M8" s="11">
        <v>0</v>
      </c>
      <c r="N8" s="135">
        <f t="shared" si="0"/>
        <v>0</v>
      </c>
      <c r="O8" s="141">
        <f t="shared" si="1"/>
        <v>0</v>
      </c>
    </row>
    <row r="9" spans="2:17">
      <c r="B9" s="14">
        <v>3</v>
      </c>
      <c r="C9" s="149" t="str">
        <f>'Head of Engineering (Arie)'!E10</f>
        <v>Arie Putra</v>
      </c>
      <c r="D9" s="8" t="str">
        <f>'Head of Engineering (Arie)'!E9</f>
        <v>Head of Engineering</v>
      </c>
      <c r="E9" s="8" t="str">
        <f>'Head of Engineering (Arie)'!E8</f>
        <v>Engineering</v>
      </c>
      <c r="F9" s="8" t="str">
        <f>'Head of Engineering (Arie)'!E11</f>
        <v>Juli 2026</v>
      </c>
      <c r="G9" s="13">
        <f>'Head of Engineering (Arie)'!L42</f>
        <v>103.3263157894737</v>
      </c>
      <c r="H9" s="14" t="str">
        <f>IF(G9&gt;=95,'Main T&amp;C'!$D$19,IF(G9&gt;=85,'Main T&amp;C'!$D$20,IF(G9&gt;=75,'Main T&amp;C'!$D$21,IF(G9&gt;=65,'Main T&amp;C'!$D$22,IF(G9&lt;65,'Main T&amp;C'!$D$23)))))</f>
        <v>A</v>
      </c>
      <c r="I9" s="179">
        <v>6000000</v>
      </c>
      <c r="J9" s="15" t="str">
        <f>IF('Main T&amp;C'!$H$10&lt;'Main T&amp;C'!$H$9,"0",IF(D9="General Manager",'Main T&amp;C'!$D$7,IF(D9="Head of Sales",'Main T&amp;C'!$D$8,IF(D9="Head of Marketing",'Main T&amp;C'!$D$9,IF(D9="Head of Engineering",'Main T&amp;C'!$D$10,IF(D9="Engineering Staff",'Main T&amp;C'!$D$11,IF(D9="Sales Admin Staff",'Main T&amp;C'!$D$12,IF(D9="Sales Staff",'Main T&amp;C'!$D$13,IF(D9="Inventory Control Staff",'Main T&amp;C'!$D$14,IF(D9="Office Boy",'Main T&amp;C'!$D$15))))))))))</f>
        <v>0</v>
      </c>
      <c r="K9" s="10">
        <f>IF(H9="A",I9*J9*'Main T&amp;C'!$E$19,IF(H9="B",I9*J9*'Main T&amp;C'!$E$20,IF(H9="C",I9*J9*'Main T&amp;C'!$E$21,IF(H9="D",I9*J9*'Main T&amp;C'!$E$22,IF(H9="E",I9*J9*0,0)))))*(IF('Main T&amp;C'!$H$10&gt;='Main T&amp;C'!$H$7,'Main T&amp;C'!$I$7,IF('Main T&amp;C'!$H$10&gt;='Main T&amp;C'!$H$8,'Main T&amp;C'!$I$8,IF('Main T&amp;C'!$H$10&gt;='Main T&amp;C'!$H$9,'Main T&amp;C'!$I$9,0))))</f>
        <v>0</v>
      </c>
      <c r="L9" s="161">
        <f>'Bonus Project'!F12</f>
        <v>52257.529500000004</v>
      </c>
      <c r="M9" s="11">
        <v>0</v>
      </c>
      <c r="N9" s="135">
        <f t="shared" si="0"/>
        <v>52257.529500000004</v>
      </c>
      <c r="O9" s="141">
        <f t="shared" si="1"/>
        <v>5.0000000000000001E-4</v>
      </c>
    </row>
    <row r="10" spans="2:17">
      <c r="B10" s="14">
        <v>4</v>
      </c>
      <c r="C10" s="149" t="str">
        <f>'Engineering Staff (Evan)'!E10</f>
        <v>Evan</v>
      </c>
      <c r="D10" s="8" t="str">
        <f>'Engineering Staff (Evan)'!E9</f>
        <v>Engineering Staff</v>
      </c>
      <c r="E10" s="8" t="str">
        <f>'Engineering Staff (Evan)'!E8</f>
        <v>Engineering</v>
      </c>
      <c r="F10" s="8" t="str">
        <f>'Engineering Staff (Evan)'!E11</f>
        <v>Juli 2026</v>
      </c>
      <c r="G10" s="13">
        <f>'Engineering Staff (Evan)'!L42</f>
        <v>98.947368421052644</v>
      </c>
      <c r="H10" s="14" t="str">
        <f>IF(G10&gt;=95,'Main T&amp;C'!$D$19,IF(G10&gt;=85,'Main T&amp;C'!$D$20,IF(G10&gt;=75,'Main T&amp;C'!$D$21,IF(G10&gt;=65,'Main T&amp;C'!$D$22,IF(G10&lt;65,'Main T&amp;C'!$D$23)))))</f>
        <v>A</v>
      </c>
      <c r="I10" s="179">
        <v>3000000</v>
      </c>
      <c r="J10" s="15" t="str">
        <f>IF('Main T&amp;C'!$H$10&lt;'Main T&amp;C'!$H$9,"0",IF(D10="General Manager",'Main T&amp;C'!$D$7,IF(D10="Head of Sales",'Main T&amp;C'!$D$8,IF(D10="Head of Marketing",'Main T&amp;C'!$D$9,IF(D10="Head of Engineering",'Main T&amp;C'!$D$10,IF(D10="Engineering Staff",'Main T&amp;C'!$D$11,IF(D10="Sales Admin Staff",'Main T&amp;C'!$D$12,IF(D10="Sales Staff",'Main T&amp;C'!$D$13,IF(D10="Inventory Control Staff",'Main T&amp;C'!$D$14,IF(D10="Office Boy",'Main T&amp;C'!$D$15))))))))))</f>
        <v>0</v>
      </c>
      <c r="K10" s="10">
        <f>IF(H10="A",I10*J10*'Main T&amp;C'!$E$19,IF(H10="B",I10*J10*'Main T&amp;C'!$E$20,IF(H10="C",I10*J10*'Main T&amp;C'!$E$21,IF(H10="D",I10*J10*'Main T&amp;C'!$E$22,IF(H10="E",I10*J10*0,0)))))*(IF('Main T&amp;C'!$H$10&gt;='Main T&amp;C'!$H$7,'Main T&amp;C'!$I$7,IF('Main T&amp;C'!$H$10&gt;='Main T&amp;C'!$H$8,'Main T&amp;C'!$I$8,IF('Main T&amp;C'!$H$10&gt;='Main T&amp;C'!$H$9,'Main T&amp;C'!$I$9,0))))</f>
        <v>0</v>
      </c>
      <c r="L10" s="161">
        <f>'Bonus Project'!F13</f>
        <v>52257.529500000004</v>
      </c>
      <c r="M10" s="11">
        <v>0</v>
      </c>
      <c r="N10" s="135">
        <f t="shared" si="0"/>
        <v>52257.529500000004</v>
      </c>
      <c r="O10" s="141">
        <f t="shared" si="1"/>
        <v>5.0000000000000001E-4</v>
      </c>
    </row>
    <row r="11" spans="2:17">
      <c r="B11" s="14">
        <v>5</v>
      </c>
      <c r="C11" s="149" t="str">
        <f>'Engineering Staff (Jeremia)'!E10</f>
        <v>Jeremia</v>
      </c>
      <c r="D11" s="8" t="str">
        <f>'Engineering Staff (Jeremia)'!E9</f>
        <v>Engineering Staff</v>
      </c>
      <c r="E11" s="8" t="str">
        <f>'Engineering Staff (Jeremia)'!E8</f>
        <v>Engineering</v>
      </c>
      <c r="F11" s="8" t="str">
        <f>'Engineering Staff (Jeremia)'!E11</f>
        <v>Juli 2026</v>
      </c>
      <c r="G11" s="13">
        <f>'Engineering Staff (Jeremia)'!L42</f>
        <v>106.02105263157895</v>
      </c>
      <c r="H11" s="14" t="str">
        <f>IF(G11&gt;=95,'Main T&amp;C'!$D$19,IF(G11&gt;=85,'Main T&amp;C'!$D$20,IF(G11&gt;=75,'Main T&amp;C'!$D$21,IF(G11&gt;=65,'Main T&amp;C'!$D$22,IF(G11&lt;65,'Main T&amp;C'!$D$23)))))</f>
        <v>A</v>
      </c>
      <c r="I11" s="179">
        <v>2700000</v>
      </c>
      <c r="J11" s="15" t="str">
        <f>IF('Main T&amp;C'!$H$10&lt;'Main T&amp;C'!$H$9,"0",IF(D11="General Manager",'Main T&amp;C'!$D$7,IF(D11="Head of Sales",'Main T&amp;C'!$D$8,IF(D11="Head of Marketing",'Main T&amp;C'!$D$9,IF(D11="Head of Engineering",'Main T&amp;C'!$D$10,IF(D11="Engineering Staff",'Main T&amp;C'!$D$11,IF(D11="Sales Admin Staff",'Main T&amp;C'!$D$12,IF(D11="Sales Staff",'Main T&amp;C'!$D$13,IF(D11="Inventory Control Staff",'Main T&amp;C'!$D$14,IF(D11="Office Boy",'Main T&amp;C'!$D$15))))))))))</f>
        <v>0</v>
      </c>
      <c r="K11" s="10">
        <f>IF(H11="A",I11*J11*'Main T&amp;C'!$E$19,IF(H11="B",I11*J11*'Main T&amp;C'!$E$20,IF(H11="C",I11*J11*'Main T&amp;C'!$E$21,IF(H11="D",I11*J11*'Main T&amp;C'!$E$22,IF(H11="E",I11*J11*0,0)))))*(IF('Main T&amp;C'!$H$10&gt;='Main T&amp;C'!$H$7,'Main T&amp;C'!$I$7,IF('Main T&amp;C'!$H$10&gt;='Main T&amp;C'!$H$8,'Main T&amp;C'!$I$8,IF('Main T&amp;C'!$H$10&gt;='Main T&amp;C'!$H$9,'Main T&amp;C'!$I$9,0))))</f>
        <v>0</v>
      </c>
      <c r="L11" s="161">
        <f>'Bonus Project'!F14</f>
        <v>52257.529500000004</v>
      </c>
      <c r="M11" s="11">
        <v>0</v>
      </c>
      <c r="N11" s="135">
        <f t="shared" ref="N11" si="2">SUM(K11:M11)</f>
        <v>52257.529500000004</v>
      </c>
      <c r="O11" s="141">
        <f t="shared" ref="O11" si="3">N11/$O$2*100%</f>
        <v>5.0000000000000001E-4</v>
      </c>
    </row>
    <row r="12" spans="2:17" hidden="1">
      <c r="B12" s="14">
        <v>8</v>
      </c>
      <c r="C12" s="8">
        <f>'Sales Admin'!E10</f>
        <v>0</v>
      </c>
      <c r="D12" s="8" t="str">
        <f>'Sales Admin'!E9</f>
        <v>Sales Admin Staff</v>
      </c>
      <c r="E12" s="8" t="str">
        <f>'Sales Admin'!E8</f>
        <v>Sales</v>
      </c>
      <c r="F12" s="8" t="str">
        <f>'Sales Admin'!E11</f>
        <v>Juli 2026</v>
      </c>
      <c r="G12" s="13">
        <f>'Sales Admin'!L41</f>
        <v>161.25</v>
      </c>
      <c r="H12" s="14" t="str">
        <f>IF(G12&gt;=95,'Main T&amp;C'!$D$19,IF(G12&gt;=85,'Main T&amp;C'!$D$20,IF(G12&gt;=75,'Main T&amp;C'!$D$21,IF(G12&gt;=65,'Main T&amp;C'!$D$22,IF(G12&lt;65,'Main T&amp;C'!$D$23)))))</f>
        <v>A</v>
      </c>
      <c r="I12" s="133">
        <v>3000000</v>
      </c>
      <c r="J12" s="15" t="str">
        <f>IF('Main T&amp;C'!$H$10&lt;'Main T&amp;C'!$H$9,"0",IF(D12="General Manager",'Main T&amp;C'!$D$7,IF(D12="Head of Sales",'Main T&amp;C'!$D$8,IF(D12="Head of Marketing",'Main T&amp;C'!$D$9,IF(D12="Head of Engineering",'Main T&amp;C'!$D$10,IF(D12="Engineering Staff",'Main T&amp;C'!$D$11,IF(D12="Sales Admin Staff",'Main T&amp;C'!$D$12,IF(D12="Sales Staff",'Main T&amp;C'!$D$13,IF(D12="Inventory Control Staff",'Main T&amp;C'!$D$14,IF(D12="Office Boy",'Main T&amp;C'!$D$15))))))))))</f>
        <v>0</v>
      </c>
      <c r="K12" s="10">
        <f>IF(H12="A",I12*J12*'Main T&amp;C'!$E$19,IF(H12="B",I12*J12*'Main T&amp;C'!$E$20,IF(H12="C",I12*J12*'Main T&amp;C'!$E$21,IF(H12="D",I12*J12*'Main T&amp;C'!$E$22,IF(H12="E",I12*J12*0,0)))))*(IF('Main T&amp;C'!$H$10&gt;='Main T&amp;C'!$H$7,'Main T&amp;C'!$I$7,IF('Main T&amp;C'!$H$10&gt;='Main T&amp;C'!$H$8,'Main T&amp;C'!$I$8,IF('Main T&amp;C'!$H$10&gt;='Main T&amp;C'!$H$9,'Main T&amp;C'!$I$9,0))))</f>
        <v>0</v>
      </c>
      <c r="L12" s="11">
        <v>0</v>
      </c>
      <c r="M12" s="11">
        <v>0</v>
      </c>
      <c r="N12" s="135">
        <f t="shared" si="0"/>
        <v>0</v>
      </c>
      <c r="O12" s="141">
        <f t="shared" si="1"/>
        <v>0</v>
      </c>
    </row>
    <row r="13" spans="2:17" hidden="1">
      <c r="B13" s="14">
        <v>9</v>
      </c>
      <c r="C13" s="8">
        <f>'Inventory Control Staff'!E10</f>
        <v>0</v>
      </c>
      <c r="D13" s="8" t="str">
        <f>'Inventory Control Staff'!E9</f>
        <v>Inventory Control Staff</v>
      </c>
      <c r="E13" s="8" t="str">
        <f>'Inventory Control Staff'!E8</f>
        <v>Warehouse</v>
      </c>
      <c r="F13" s="8" t="str">
        <f>'Inventory Control Staff'!E11</f>
        <v>Juli 2026</v>
      </c>
      <c r="G13" s="13">
        <f>'Inventory Control Staff'!L41</f>
        <v>97.25</v>
      </c>
      <c r="H13" s="14" t="str">
        <f>IF(G13&gt;=95,'Main T&amp;C'!$D$19,IF(G13&gt;=85,'Main T&amp;C'!$D$20,IF(G13&gt;=75,'Main T&amp;C'!$D$21,IF(G13&gt;=65,'Main T&amp;C'!$D$22,IF(G13&lt;65,'Main T&amp;C'!$D$23)))))</f>
        <v>A</v>
      </c>
      <c r="I13" s="133">
        <v>3000000</v>
      </c>
      <c r="J13" s="15" t="str">
        <f>IF('Main T&amp;C'!$H$10&lt;'Main T&amp;C'!$H$9,"0",IF(D13="General Manager",'Main T&amp;C'!$D$7,IF(D13="Head of Sales",'Main T&amp;C'!$D$8,IF(D13="Head of Marketing",'Main T&amp;C'!$D$9,IF(D13="Head of Engineering",'Main T&amp;C'!$D$10,IF(D13="Engineering Staff",'Main T&amp;C'!$D$11,IF(D13="Sales Admin Staff",'Main T&amp;C'!$D$12,IF(D13="Sales Staff",'Main T&amp;C'!$D$13,IF(D13="Inventory Control Staff",'Main T&amp;C'!$D$14,IF(D13="Office Boy",'Main T&amp;C'!$D$15))))))))))</f>
        <v>0</v>
      </c>
      <c r="K13" s="10">
        <f>IF(H13="A",I13*J13*'Main T&amp;C'!$E$19,IF(H13="B",I13*J13*'Main T&amp;C'!$E$20,IF(H13="C",I13*J13*'Main T&amp;C'!$E$21,IF(H13="D",I13*J13*'Main T&amp;C'!$E$22,IF(H13="E",I13*J13*0,0)))))*(IF('Main T&amp;C'!$H$10&gt;='Main T&amp;C'!$H$7,'Main T&amp;C'!$I$7,IF('Main T&amp;C'!$H$10&gt;='Main T&amp;C'!$H$8,'Main T&amp;C'!$I$8,IF('Main T&amp;C'!$H$10&gt;='Main T&amp;C'!$H$9,'Main T&amp;C'!$I$9,0))))</f>
        <v>0</v>
      </c>
      <c r="L13" s="11">
        <v>0</v>
      </c>
      <c r="M13" s="11">
        <v>0</v>
      </c>
      <c r="N13" s="135">
        <f t="shared" si="0"/>
        <v>0</v>
      </c>
      <c r="O13" s="141">
        <f t="shared" si="1"/>
        <v>0</v>
      </c>
    </row>
    <row r="14" spans="2:17" hidden="1">
      <c r="B14" s="14">
        <v>10</v>
      </c>
      <c r="C14" s="8">
        <f>'Office Boy'!E10</f>
        <v>0</v>
      </c>
      <c r="D14" s="8" t="str">
        <f>'Office Boy'!E9</f>
        <v>Office Boy</v>
      </c>
      <c r="E14" s="8" t="str">
        <f>'Office Boy'!E8</f>
        <v>Warehouse</v>
      </c>
      <c r="F14" s="8" t="str">
        <f>'Office Boy'!E11</f>
        <v>Juli 2026</v>
      </c>
      <c r="G14" s="13">
        <f>'Office Boy'!L41</f>
        <v>97.25</v>
      </c>
      <c r="H14" s="14" t="str">
        <f>IF(G14&gt;=95,'Main T&amp;C'!$D$19,IF(G14&gt;=85,'Main T&amp;C'!$D$20,IF(G14&gt;=75,'Main T&amp;C'!$D$21,IF(G14&gt;=65,'Main T&amp;C'!$D$22,IF(G14&lt;65,'Main T&amp;C'!$D$23)))))</f>
        <v>A</v>
      </c>
      <c r="I14" s="133">
        <v>2000000</v>
      </c>
      <c r="J14" s="15" t="str">
        <f>IF('Main T&amp;C'!$H$10&lt;'Main T&amp;C'!$H$9,"0",IF(D14="General Manager",'Main T&amp;C'!$D$7,IF(D14="Head of Sales",'Main T&amp;C'!$D$8,IF(D14="Head of Marketing",'Main T&amp;C'!$D$9,IF(D14="Head of Engineering",'Main T&amp;C'!$D$10,IF(D14="Engineering Staff",'Main T&amp;C'!$D$11,IF(D14="Sales Admin Staff",'Main T&amp;C'!$D$12,IF(D14="Sales Staff",'Main T&amp;C'!$D$13,IF(D14="Inventory Control Staff",'Main T&amp;C'!$D$14,IF(D14="Office Boy",'Main T&amp;C'!$D$15))))))))))</f>
        <v>0</v>
      </c>
      <c r="K14" s="10">
        <f>IF(H14="A",I14*J14*'Main T&amp;C'!$E$19,IF(H14="B",I14*J14*'Main T&amp;C'!$E$20,IF(H14="C",I14*J14*'Main T&amp;C'!$E$21,IF(H14="D",I14*J14*'Main T&amp;C'!$E$22,IF(H14="E",I14*J14*0,0)))))*(IF('Main T&amp;C'!$H$10&gt;='Main T&amp;C'!$H$7,'Main T&amp;C'!$I$7,IF('Main T&amp;C'!$H$10&gt;='Main T&amp;C'!$H$8,'Main T&amp;C'!$I$8,IF('Main T&amp;C'!$H$10&gt;='Main T&amp;C'!$H$9,'Main T&amp;C'!$I$9,0))))</f>
        <v>0</v>
      </c>
      <c r="L14" s="11">
        <v>0</v>
      </c>
      <c r="M14" s="11">
        <v>0</v>
      </c>
      <c r="N14" s="135">
        <f t="shared" si="0"/>
        <v>0</v>
      </c>
      <c r="O14" s="141">
        <f t="shared" si="1"/>
        <v>0</v>
      </c>
    </row>
    <row r="15" spans="2:17" hidden="1">
      <c r="B15" s="14"/>
      <c r="C15" s="8"/>
      <c r="D15" s="8"/>
      <c r="E15" s="8"/>
      <c r="F15" s="8"/>
      <c r="G15" s="8"/>
      <c r="H15" s="8"/>
      <c r="I15" s="10"/>
      <c r="J15" s="8"/>
      <c r="K15" s="11"/>
      <c r="L15" s="11"/>
      <c r="M15" s="11"/>
      <c r="N15" s="135"/>
      <c r="O15" s="142"/>
    </row>
    <row r="16" spans="2:17" hidden="1">
      <c r="B16" s="14"/>
      <c r="C16" s="8"/>
      <c r="D16" s="8"/>
      <c r="E16" s="8"/>
      <c r="F16" s="8"/>
      <c r="G16" s="8"/>
      <c r="H16" s="8"/>
      <c r="I16" s="10"/>
      <c r="J16" s="8"/>
      <c r="K16" s="11"/>
      <c r="L16" s="11"/>
      <c r="M16" s="11"/>
      <c r="N16" s="135"/>
      <c r="O16" s="142"/>
    </row>
    <row r="17" spans="2:15" hidden="1">
      <c r="B17" s="14"/>
      <c r="C17" s="8"/>
      <c r="D17" s="8"/>
      <c r="E17" s="8"/>
      <c r="F17" s="8"/>
      <c r="G17" s="8"/>
      <c r="H17" s="8"/>
      <c r="I17" s="10"/>
      <c r="J17" s="8"/>
      <c r="K17" s="11"/>
      <c r="L17" s="11"/>
      <c r="M17" s="11"/>
      <c r="N17" s="135"/>
      <c r="O17" s="142"/>
    </row>
    <row r="18" spans="2:15" hidden="1">
      <c r="B18" s="14"/>
      <c r="C18" s="8"/>
      <c r="D18" s="8"/>
      <c r="E18" s="8"/>
      <c r="F18" s="8"/>
      <c r="G18" s="8"/>
      <c r="H18" s="8"/>
      <c r="I18" s="10"/>
      <c r="J18" s="8"/>
      <c r="K18" s="11"/>
      <c r="L18" s="11"/>
      <c r="M18" s="11"/>
      <c r="N18" s="135"/>
      <c r="O18" s="142"/>
    </row>
    <row r="19" spans="2:15" hidden="1">
      <c r="B19" s="14"/>
      <c r="C19" s="8"/>
      <c r="D19" s="8"/>
      <c r="E19" s="8"/>
      <c r="F19" s="8"/>
      <c r="G19" s="8"/>
      <c r="H19" s="8"/>
      <c r="I19" s="10"/>
      <c r="J19" s="8"/>
      <c r="K19" s="11"/>
      <c r="L19" s="11"/>
      <c r="M19" s="11"/>
      <c r="N19" s="135"/>
      <c r="O19" s="142"/>
    </row>
    <row r="20" spans="2:15" hidden="1">
      <c r="B20" s="14"/>
      <c r="C20" s="8"/>
      <c r="D20" s="8"/>
      <c r="E20" s="8"/>
      <c r="F20" s="8"/>
      <c r="G20" s="8"/>
      <c r="H20" s="8"/>
      <c r="I20" s="10"/>
      <c r="J20" s="8"/>
      <c r="K20" s="11"/>
      <c r="L20" s="11"/>
      <c r="M20" s="11"/>
      <c r="N20" s="135"/>
      <c r="O20" s="142"/>
    </row>
    <row r="21" spans="2:15" hidden="1">
      <c r="B21" s="14"/>
      <c r="C21" s="8"/>
      <c r="D21" s="8"/>
      <c r="E21" s="8"/>
      <c r="F21" s="8"/>
      <c r="G21" s="8"/>
      <c r="H21" s="8"/>
      <c r="I21" s="10"/>
      <c r="J21" s="8"/>
      <c r="K21" s="11"/>
      <c r="L21" s="11"/>
      <c r="M21" s="11"/>
      <c r="N21" s="135"/>
      <c r="O21" s="142"/>
    </row>
    <row r="22" spans="2:15" hidden="1">
      <c r="B22" s="14"/>
      <c r="C22" s="8"/>
      <c r="D22" s="8"/>
      <c r="E22" s="8"/>
      <c r="F22" s="8"/>
      <c r="G22" s="8"/>
      <c r="H22" s="8"/>
      <c r="I22" s="10"/>
      <c r="J22" s="8"/>
      <c r="K22" s="11"/>
      <c r="L22" s="11"/>
      <c r="M22" s="11"/>
      <c r="N22" s="135"/>
      <c r="O22" s="142"/>
    </row>
    <row r="23" spans="2:15" hidden="1">
      <c r="B23" s="14"/>
      <c r="C23" s="8"/>
      <c r="D23" s="8"/>
      <c r="E23" s="8"/>
      <c r="F23" s="8"/>
      <c r="G23" s="8"/>
      <c r="H23" s="8"/>
      <c r="I23" s="10"/>
      <c r="J23" s="8"/>
      <c r="K23" s="11"/>
      <c r="L23" s="11"/>
      <c r="M23" s="11"/>
      <c r="N23" s="135"/>
      <c r="O23" s="142"/>
    </row>
    <row r="24" spans="2:15" hidden="1">
      <c r="I24" s="127"/>
      <c r="K24" s="134">
        <f>SUM(K4:K23)</f>
        <v>0</v>
      </c>
      <c r="L24" s="134">
        <f t="shared" ref="L24:O24" si="4">SUM(L4:L23)</f>
        <v>1201923.1784999999</v>
      </c>
      <c r="M24" s="134">
        <f t="shared" si="4"/>
        <v>0</v>
      </c>
      <c r="N24" s="134">
        <f>SUM(N4:N23)</f>
        <v>1201923.1784999999</v>
      </c>
      <c r="O24" s="143">
        <f t="shared" si="4"/>
        <v>1.1500000000000002E-2</v>
      </c>
    </row>
  </sheetData>
  <autoFilter ref="B3:Q24" xr:uid="{00000000-0001-0000-0A00-000000000000}">
    <filterColumn colId="1">
      <colorFilter dxfId="14"/>
    </filterColumn>
  </autoFilter>
  <mergeCells count="1">
    <mergeCell ref="B2:K2"/>
  </mergeCells>
  <conditionalFormatting sqref="H4:H16">
    <cfRule type="colorScale" priority="16">
      <colorScale>
        <cfvo type="min"/>
        <cfvo type="max"/>
        <color rgb="FFFF7128"/>
        <color rgb="FFFFEF9C"/>
      </colorScale>
    </cfRule>
  </conditionalFormatting>
  <conditionalFormatting sqref="H4:H18">
    <cfRule type="containsText" dxfId="6" priority="13" operator="containsText" text="A">
      <formula>NOT(ISERROR(SEARCH("A",H4)))</formula>
    </cfRule>
  </conditionalFormatting>
  <conditionalFormatting sqref="H4:H23">
    <cfRule type="containsText" dxfId="5" priority="9" operator="containsText" text="E">
      <formula>NOT(ISERROR(SEARCH("E",H4)))</formula>
    </cfRule>
    <cfRule type="containsText" dxfId="4" priority="10" operator="containsText" text="D">
      <formula>NOT(ISERROR(SEARCH("D",H4)))</formula>
    </cfRule>
    <cfRule type="containsText" dxfId="3" priority="11" operator="containsText" text="C">
      <formula>NOT(ISERROR(SEARCH("C",H4)))</formula>
    </cfRule>
    <cfRule type="containsText" dxfId="2" priority="12" operator="containsText" text="B">
      <formula>NOT(ISERROR(SEARCH("B",H4)))</formula>
    </cfRule>
    <cfRule type="containsText" dxfId="1" priority="15" operator="containsText" text="B">
      <formula>NOT(ISERROR(SEARCH("B",H4)))</formula>
    </cfRule>
  </conditionalFormatting>
  <conditionalFormatting sqref="H4:H28">
    <cfRule type="containsText" dxfId="0" priority="14" operator="containsText" text="D">
      <formula>NOT(ISERROR(SEARCH("D",H4)))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1:C100"/>
  <sheetViews>
    <sheetView workbookViewId="0"/>
  </sheetViews>
  <sheetFormatPr defaultColWidth="14.42578125" defaultRowHeight="15" customHeight="1"/>
  <cols>
    <col min="1" max="11" width="8.7109375" customWidth="1"/>
  </cols>
  <sheetData>
    <row r="1" spans="3:3" ht="14.25" customHeight="1"/>
    <row r="2" spans="3:3" ht="14.25" customHeight="1"/>
    <row r="3" spans="3:3" ht="14.25" customHeight="1">
      <c r="C3" t="s">
        <v>145</v>
      </c>
    </row>
    <row r="4" spans="3:3" ht="14.25" customHeight="1">
      <c r="C4" s="1" t="s">
        <v>26</v>
      </c>
    </row>
    <row r="5" spans="3:3" ht="14.25" customHeight="1">
      <c r="C5" s="2" t="s">
        <v>24</v>
      </c>
    </row>
    <row r="6" spans="3:3" ht="14.25" customHeight="1"/>
    <row r="7" spans="3:3" ht="14.25" customHeight="1"/>
    <row r="8" spans="3:3" ht="14.25" customHeight="1"/>
    <row r="9" spans="3:3" ht="14.25" customHeight="1"/>
    <row r="10" spans="3:3" ht="14.25" customHeight="1"/>
    <row r="11" spans="3:3" ht="14.25" customHeight="1"/>
    <row r="12" spans="3:3" ht="14.25" customHeight="1"/>
    <row r="13" spans="3:3" ht="14.25" customHeight="1"/>
    <row r="14" spans="3:3" ht="14.25" customHeight="1"/>
    <row r="15" spans="3:3" ht="14.25" customHeight="1"/>
    <row r="16" spans="3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General Manager</vt:lpstr>
      <vt:lpstr>Head of Sales (Yadi)</vt:lpstr>
      <vt:lpstr>Sales Staff (Sanjaya)</vt:lpstr>
      <vt:lpstr>Sales Staff (2)</vt:lpstr>
      <vt:lpstr>Sales Admin</vt:lpstr>
      <vt:lpstr>Head of Marketing</vt:lpstr>
      <vt:lpstr>Head of Engineering (Arie)</vt:lpstr>
      <vt:lpstr>Engineering Staff (Evan)</vt:lpstr>
      <vt:lpstr>Engineering Staff (Jeremia)</vt:lpstr>
      <vt:lpstr>Inventory Control Staff</vt:lpstr>
      <vt:lpstr>Office Boy</vt:lpstr>
      <vt:lpstr>HRGA</vt:lpstr>
      <vt:lpstr>Main T&amp;C</vt:lpstr>
      <vt:lpstr>Sheet2</vt:lpstr>
      <vt:lpstr>Bonus Project</vt:lpstr>
      <vt:lpstr>KPI Recap, Bonus Bulanan, Payme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2026-06-27T17:33:27Z</cp:lastPrinted>
  <dcterms:created xsi:type="dcterms:W3CDTF">2020-09-30T23:02:00Z</dcterms:created>
  <dcterms:modified xsi:type="dcterms:W3CDTF">2026-09-16T03:42:29Z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1033-12.8.2.22595</vt:lpwstr>
  </property>
  <property fmtid="{D5CDD505-2E9C-101B-9397-08002B2CF9AE}" pid="3" name="ICV">
    <vt:lpwstr>F5A52F2BEB7F647A5919E369607373A2_42</vt:lpwstr>
  </property>
</Properties>
</file>